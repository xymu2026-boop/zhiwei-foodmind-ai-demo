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6871b38b94a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与完成度" sheetId="1" r:id="R65d6493b3a1948b5"/>
    <x:sheet xmlns:r="http://schemas.openxmlformats.org/officeDocument/2006/relationships" name="场景与页面" sheetId="2" r:id="Rd7612eeec44a46a4"/>
    <x:sheet xmlns:r="http://schemas.openxmlformats.org/officeDocument/2006/relationships" name="角色任务矩阵" sheetId="3" r:id="R2546387a17804092"/>
    <x:sheet xmlns:r="http://schemas.openxmlformats.org/officeDocument/2006/relationships" name="素材台账" sheetId="4" r:id="Rc8a1748e037542b7"/>
    <x:sheet xmlns:r="http://schemas.openxmlformats.org/officeDocument/2006/relationships" name="图片拍摄清单" sheetId="5" r:id="R63e0c5331055410c"/>
    <x:sheet xmlns:r="http://schemas.openxmlformats.org/officeDocument/2006/relationships" name="品质证据包" sheetId="6" r:id="R784f391127e34932"/>
    <x:sheet xmlns:r="http://schemas.openxmlformats.org/officeDocument/2006/relationships" name="备货证据包" sheetId="7" r:id="R8d94a21dd4be4f25"/>
    <x:sheet xmlns:r="http://schemas.openxmlformats.org/officeDocument/2006/relationships" name="成本体验外卖" sheetId="8" r:id="Recfd9151c8514e4c"/>
    <x:sheet xmlns:r="http://schemas.openxmlformats.org/officeDocument/2006/relationships" name="表单与SOP字段" sheetId="9" r:id="R2e40e3b1b5c5482c"/>
    <x:sheet xmlns:r="http://schemas.openxmlformats.org/officeDocument/2006/relationships" name="缺口与优先级" sheetId="10" r:id="R9160d30b373848fc"/>
    <x:sheet xmlns:r="http://schemas.openxmlformats.org/officeDocument/2006/relationships" name="检查" sheetId="11" r:id="Rb1bfba7cae91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yyyy-mm-dd"/>
    <x:numFmt numFmtId="202" formatCode="#,##0"/>
    <x:numFmt numFmtId="203" formatCode="0.0"/>
    <x:numFmt numFmtId="204" formatCode="0.0%"/>
    <x:numFmt numFmtId="205" formatCode="0.0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B6D67"/>
      <x:name val="Carlito"/>
    </x:font>
    <x:font>
      <x:b/>
      <x:sz val="10"/>
      <x:color rgb="FFFFFFFF"/>
      <x:name val="Carlito"/>
    </x:font>
    <x:font>
      <x:b/>
      <x:sz val="16"/>
      <x:color rgb="FF20211D"/>
      <x:name val="Carlito"/>
    </x:font>
    <x:font>
      <x:sz val="10"/>
      <x:color rgb="FF20211D"/>
      <x:name val="Carlito"/>
    </x:font>
    <x:font>
      <x:b/>
      <x:sz val="12"/>
      <x:color rgb="FFB97818"/>
      <x:name val="Carlito"/>
    </x:font>
    <x:font>
      <x:b/>
      <x:sz val="10"/>
      <x:color rgb="FF20211D"/>
      <x:name val="Carlito"/>
    </x:font>
    <x:font>
      <x:b/>
      <x:sz val="11"/>
      <x:color rgb="FFFFFFFF"/>
      <x:name val="Carlito"/>
    </x:font>
    <x:font>
      <x:b/>
      <x:sz val="14"/>
      <x:color rgb="FF315C3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15C3B"/>
      </x:patternFill>
    </x:fill>
    <x:fill>
      <x:patternFill patternType="solid">
        <x:fgColor rgb="FFF3EEE3"/>
      </x:patternFill>
    </x:fill>
    <x:fill>
      <x:patternFill patternType="solid">
        <x:fgColor rgb="FF20211D"/>
      </x:patternFill>
    </x:fill>
    <x:fill>
      <x:patternFill patternType="solid">
        <x:fgColor rgb="FFFBF8F1"/>
      </x:patternFill>
    </x:fill>
    <x:fill>
      <x:patternFill patternType="solid">
        <x:fgColor rgb="FFF5E7D1"/>
      </x:patternFill>
    </x:fill>
  </x:fills>
  <x:borders count="3">
    <x:border/>
    <x:border>
      <x:bottom style="medium">
        <x:color rgb="FFB97818"/>
      </x:bottom>
    </x:border>
    <x:border>
      <x:bottom style="thin">
        <x:color rgb="FFD8D1C5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7" fillId="6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7" fillId="6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4" fontId="7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 wrapText="1"/>
    </x:xf>
    <x:xf numFmtId="205" fontId="5" fillId="0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9" fillId="5" borderId="0" xfId="0" applyNumberFormat="1" applyFont="1" applyFill="1" applyBorder="1"/>
  </x:cellXfs>
  <x:cellStyles count="1">
    <x:cellStyle name="Normal" xfId="0"/>
  </x:cellStyles>
  <x:dxfs count="12">
    <x:dxf>
      <x:font>
        <x:color rgb="FF315C3B"/>
      </x:font>
      <x:fill>
        <x:patternFill patternType="solid">
          <x:bgColor rgb="FFE5EEE5"/>
        </x:patternFill>
      </x:fill>
    </x:dxf>
    <x:dxf>
      <x:font>
        <x:color rgb="FF2E5E8C"/>
      </x:font>
      <x:fill>
        <x:patternFill patternType="solid">
          <x:bgColor rgb="FFE6EEF7"/>
        </x:patternFill>
      </x:fill>
    </x:dxf>
    <x:dxf>
      <x:font>
        <x:color rgb="FFB97818"/>
      </x:font>
      <x:fill>
        <x:patternFill patternType="solid">
          <x:bgColor rgb="FFF5E7D1"/>
        </x:patternFill>
      </x:fill>
    </x:dxf>
    <x:dxf>
      <x:font>
        <x:color rgb="FF315C3B"/>
      </x:font>
      <x:fill>
        <x:patternFill patternType="solid">
          <x:bgColor rgb="FFE5EEE5"/>
        </x:patternFill>
      </x:fill>
    </x:dxf>
    <x:dxf>
      <x:font>
        <x:color rgb="FF2E5E8C"/>
      </x:font>
      <x:fill>
        <x:patternFill patternType="solid">
          <x:bgColor rgb="FFE6EEF7"/>
        </x:patternFill>
      </x:fill>
    </x:dxf>
    <x:dxf>
      <x:font>
        <x:color rgb="FFB97818"/>
      </x:font>
      <x:fill>
        <x:patternFill patternType="solid">
          <x:bgColor rgb="FFF5E7D1"/>
        </x:patternFill>
      </x:fill>
    </x:dxf>
    <x:dxf>
      <x:font>
        <x:color rgb="FF315C3B"/>
      </x:font>
      <x:fill>
        <x:patternFill patternType="solid">
          <x:bgColor rgb="FFE5EEE5"/>
        </x:patternFill>
      </x:fill>
    </x:dxf>
    <x:dxf>
      <x:font>
        <x:color rgb="FF2E5E8C"/>
      </x:font>
      <x:fill>
        <x:patternFill patternType="solid">
          <x:bgColor rgb="FFE6EEF7"/>
        </x:patternFill>
      </x:fill>
    </x:dxf>
    <x:dxf>
      <x:font>
        <x:color rgb="FFB97818"/>
      </x:font>
      <x:fill>
        <x:patternFill patternType="solid">
          <x:bgColor rgb="FFF5E7D1"/>
        </x:patternFill>
      </x:fill>
    </x:dxf>
    <x:dxf>
      <x:font>
        <x:color rgb="FF315C3B"/>
      </x:font>
      <x:fill>
        <x:patternFill patternType="solid">
          <x:bgColor rgb="FFE5EEE5"/>
        </x:patternFill>
      </x:fill>
    </x:dxf>
    <x:dxf>
      <x:font>
        <x:color rgb="FF2E5E8C"/>
      </x:font>
      <x:fill>
        <x:patternFill patternType="solid">
          <x:bgColor rgb="FFE6EEF7"/>
        </x:patternFill>
      </x:fill>
    </x:dxf>
    <x:dxf>
      <x:font>
        <x:color rgb="FFB97818"/>
      </x:font>
      <x:fill>
        <x:patternFill patternType="solid">
          <x:bgColor rgb="FFF5E7D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104d3fd04b436b" /><Relationship Type="http://schemas.openxmlformats.org/officeDocument/2006/relationships/theme" Target="/xl/theme/theme1.xml" Id="R063eea9f781d4838" /><Relationship Type="http://schemas.openxmlformats.org/officeDocument/2006/relationships/sharedStrings" Target="/xl/sharedStrings.xml" Id="Rf442494cc4e741a2" /><Relationship Type="http://schemas.openxmlformats.org/officeDocument/2006/relationships/worksheet" Target="/xl/worksheets/sheet1.xml" Id="R65d6493b3a1948b5" /><Relationship Type="http://schemas.openxmlformats.org/officeDocument/2006/relationships/worksheet" Target="/xl/worksheets/sheet2.xml" Id="Rd7612eeec44a46a4" /><Relationship Type="http://schemas.openxmlformats.org/officeDocument/2006/relationships/worksheet" Target="/xl/worksheets/sheet3.xml" Id="R2546387a17804092" /><Relationship Type="http://schemas.openxmlformats.org/officeDocument/2006/relationships/worksheet" Target="/xl/worksheets/sheet4.xml" Id="Rc8a1748e037542b7" /><Relationship Type="http://schemas.openxmlformats.org/officeDocument/2006/relationships/worksheet" Target="/xl/worksheets/sheet5.xml" Id="R63e0c5331055410c" /><Relationship Type="http://schemas.openxmlformats.org/officeDocument/2006/relationships/worksheet" Target="/xl/worksheets/sheet6.xml" Id="R784f391127e34932" /><Relationship Type="http://schemas.openxmlformats.org/officeDocument/2006/relationships/worksheet" Target="/xl/worksheets/sheet7.xml" Id="R8d94a21dd4be4f25" /><Relationship Type="http://schemas.openxmlformats.org/officeDocument/2006/relationships/worksheet" Target="/xl/worksheets/sheet8.xml" Id="Recfd9151c8514e4c" /><Relationship Type="http://schemas.openxmlformats.org/officeDocument/2006/relationships/worksheet" Target="/xl/worksheets/sheet9.xml" Id="R2e40e3b1b5c5482c" /><Relationship Type="http://schemas.openxmlformats.org/officeDocument/2006/relationships/worksheet" Target="/xl/worksheets/sheet10.xml" Id="R9160d30b373848fc" /><Relationship Type="http://schemas.openxmlformats.org/officeDocument/2006/relationships/worksheet" Target="/xl/worksheets/sheet11.xml" Id="Rb1bfba7cae914e9b" /><Relationship Type="http://schemas.microsoft.com/office/2017/10/relationships/person" Target="/xl/persons/person.xml" Id="Re23368df37dc4cdb" /></Relationships>
</file>

<file path=xl/persons/person.xml><?xml version="1.0" encoding="utf-8"?>
<xltc:personList xmlns:xltc="http://schemas.microsoft.com/office/spreadsheetml/2018/threadedcomments">
  <xltc:person displayName="User" id="{931A237E-5455-45E1-A78B-901BA2517E6B}"/>
</xltc:personList>
</file>

<file path=xl/tables/table1.xml><?xml version="1.0" encoding="utf-8"?>
<x:table xmlns:x="http://schemas.openxmlformats.org/spreadsheetml/2006/main" id="1" name="ScenesTable" displayName="ScenesTable" ref="A4:K11" headerRowCount="1" totalsRowCount="0" totalsRowShown="0">
  <x:tableColumns count="11">
    <x:tableColumn id="1" name="场景ID"/>
    <x:tableColumn id="2" name="一级场景"/>
    <x:tableColumn id="3" name="商业价值"/>
    <x:tableColumn id="4" name="主要角色"/>
    <x:tableColumn id="5" name="要回答的问题"/>
    <x:tableColumn id="6" name="输入证据"/>
    <x:tableColumn id="7" name="完整SOP"/>
    <x:tableColumn id="8" name="PC页面输出"/>
    <x:tableColumn id="9" name="移动端承接"/>
    <x:tableColumn id="10" name="优先级"/>
    <x:tableColumn id="11" name="制作安排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RolesTable" displayName="RolesTable" ref="A4:J19" headerRowCount="1" totalsRowCount="0" totalsRowShown="0">
  <x:tableColumns count="10">
    <x:tableColumn id="1" name="记录ID"/>
    <x:tableColumn id="2" name="角色"/>
    <x:tableColumn id="3" name="组织层级"/>
    <x:tableColumn id="4" name="场景"/>
    <x:tableColumn id="5" name="核心任务"/>
    <x:tableColumn id="6" name="输入"/>
    <x:tableColumn id="7" name="动作/权限"/>
    <x:tableColumn id="8" name="输出证据"/>
    <x:tableColumn id="9" name="主要终端"/>
    <x:tableColumn id="10" name="设计提醒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MaterialsTable" displayName="MaterialsTable" ref="A4:N70" headerRowCount="1" totalsRowCount="0" totalsRowShown="0">
  <x:tableColumns count="14">
    <x:tableColumn id="1" name="素材ID"/>
    <x:tableColumn id="2" name="场景"/>
    <x:tableColumn id="3" name="SOP节点"/>
    <x:tableColumn id="4" name="角色/提供方"/>
    <x:tableColumn id="5" name="类型"/>
    <x:tableColumn id="6" name="素材名称"/>
    <x:tableColumn id="7" name="具体内容/字段"/>
    <x:tableColumn id="8" name="数据标签"/>
    <x:tableColumn id="9" name="状态"/>
    <x:tableColumn id="10" name="优先级"/>
    <x:tableColumn id="11" name="关联事件"/>
    <x:tableColumn id="12" name="批次/记录"/>
    <x:tableColumn id="13" name="来源或计划文件"/>
    <x:tableColumn id="14" name="页面用途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ImagesTable" displayName="ImagesTable" ref="A4:Q35" headerRowCount="1" totalsRowCount="0" totalsRowShown="0">
  <x:tableColumns count="17">
    <x:tableColumn id="1" name="图片ID"/>
    <x:tableColumn id="2" name="场景"/>
    <x:tableColumn id="3" name="SOP节点"/>
    <x:tableColumn id="4" name="角色"/>
    <x:tableColumn id="5" name="主体"/>
    <x:tableColumn id="6" name="状态/情境"/>
    <x:tableColumn id="7" name="镜头类型"/>
    <x:tableColumn id="8" name="必须出现"/>
    <x:tableColumn id="9" name="构图"/>
    <x:tableColumn id="10" name="页面用途"/>
    <x:tableColumn id="11" name="方向"/>
    <x:tableColumn id="12" name="最低分辨率"/>
    <x:tableColumn id="13" name="风格要求"/>
    <x:tableColumn id="14" name="当前状态"/>
    <x:tableColumn id="15" name="获取方式"/>
    <x:tableColumn id="16" name="优先级"/>
    <x:tableColumn id="17" name="目标文件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QualityEvidenceTable" displayName="QualityEvidenceTable" ref="A4:O28" headerRowCount="1" totalsRowCount="0" totalsRowShown="0">
  <x:tableColumns count="15">
    <x:tableColumn id="1" name="证据ID"/>
    <x:tableColumn id="2" name="事件ID"/>
    <x:tableColumn id="3" name="时间"/>
    <x:tableColumn id="4" name="SOP节点"/>
    <x:tableColumn id="5" name="角色"/>
    <x:tableColumn id="6" name="证据类型"/>
    <x:tableColumn id="7" name="实际观察/数值"/>
    <x:tableColumn id="8" name="标准/阈值"/>
    <x:tableColumn id="9" name="判断"/>
    <x:tableColumn id="10" name="数据标签"/>
    <x:tableColumn id="11" name="素材ID"/>
    <x:tableColumn id="12" name="下一动作"/>
    <x:tableColumn id="13" name="责任人"/>
    <x:tableColumn id="14" name="状态"/>
    <x:tableColumn id="15" name="页面强调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StockingEvidenceTable" displayName="StockingEvidenceTable" ref="A4:O12" headerRowCount="1" totalsRowCount="0" totalsRowShown="0">
  <x:tableColumns count="15">
    <x:tableColumn id="1" name="日期"/>
    <x:tableColumn id="2" name="门店ID"/>
    <x:tableColumn id="3" name="门店"/>
    <x:tableColumn id="4" name="月销基线(元)"/>
    <x:tableColumn id="5" name="人工申报kg"/>
    <x:tableColumn id="6" name="系统原始预测kg"/>
    <x:tableColumn id="7" name="可用库存kg"/>
    <x:tableColumn id="8" name="安全库存kg"/>
    <x:tableColumn id="9" name="最终建议kg"/>
    <x:tableColumn id="10" name="实际耗用kg"/>
    <x:tableColumn id="11" name="准确率"/>
    <x:tableColumn id="12" name="人工修正/业务原因"/>
    <x:tableColumn id="13" name="审批人"/>
    <x:tableColumn id="14" name="状态"/>
    <x:tableColumn id="15" name="差异kg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OtherEvidenceTable" displayName="OtherEvidenceTable" ref="A4:N10" headerRowCount="1" totalsRowCount="0" totalsRowShown="0">
  <x:tableColumns count="14">
    <x:tableColumn id="1" name="场景"/>
    <x:tableColumn id="2" name="记录ID"/>
    <x:tableColumn id="3" name="对象/主题"/>
    <x:tableColumn id="4" name="售价"/>
    <x:tableColumn id="5" name="食材成本"/>
    <x:tableColumn id="6" name="外卖折扣率"/>
    <x:tableColumn id="7" name="佣金率"/>
    <x:tableColumn id="8" name="包装成本"/>
    <x:tableColumn id="9" name="堂食贡献额"/>
    <x:tableColumn id="10" name="堂食贡献率"/>
    <x:tableColumn id="11" name="外卖贡献额"/>
    <x:tableColumn id="12" name="外卖贡献率"/>
    <x:tableColumn id="13" name="经营判断"/>
    <x:tableColumn id="14" name="数据标签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FormsTable" displayName="FormsTable" ref="A4:H16" headerRowCount="1" totalsRowCount="0" totalsRowShown="0">
  <x:tableColumns count="8">
    <x:tableColumn id="1" name="表单ID"/>
    <x:tableColumn id="2" name="表单/记录"/>
    <x:tableColumn id="3" name="场景"/>
    <x:tableColumn id="4" name="执行角色"/>
    <x:tableColumn id="5" name="必填字段"/>
    <x:tableColumn id="6" name="承载端"/>
    <x:tableColumn id="7" name="本轮状态"/>
    <x:tableColumn id="8" name="优先级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GapTable" displayName="GapTable" ref="A4:J13" headerRowCount="1" totalsRowCount="0" totalsRowShown="0">
  <x:tableColumns count="10">
    <x:tableColumn id="1" name="缺口ID"/>
    <x:tableColumn id="2" name="场景"/>
    <x:tableColumn id="3" name="节点"/>
    <x:tableColumn id="4" name="提供方"/>
    <x:tableColumn id="5" name="类型"/>
    <x:tableColumn id="6" name="需要补充"/>
    <x:tableColumn id="7" name="最低字段/内容"/>
    <x:tableColumn id="8" name="为什么需要"/>
    <x:tableColumn id="9" name="可用替代方案"/>
    <x:tableColumn id="10" name="优先级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8af47f990f4e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c9151e3ed244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9e34d96bb147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b6adffdc7143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4d3ba6e7c243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cc67dd099349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3f303322b140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c8c24ff5e14da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43dd50efef64f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  <x:col min="8" max="8" width="5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</x:cols>
  <x:sheetData>
    <x:row r="1" ht="34" customHeight="1">
      <x:c r="A1" s="3" t="str">
        <x:v>知味 FoodMind｜核心场景证据与素材台账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v0.2｜围绕场景、角色和SOP节点准备页面内容；状态区分已有、模拟、待拍摄与待客户提供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12" t="str">
        <x:v>P0素材总项</x:v>
      </x:c>
      <x:c r="B4" s="12" t="str">
        <x:v>已有/可用</x:v>
      </x:c>
      <x:c r="C4" s="12" t="str">
        <x:v>本轮模拟补齐</x:v>
      </x:c>
      <x:c r="D4" s="12" t="str">
        <x:v>待客户提供</x:v>
      </x:c>
      <x:c r="E4" s="12" t="str">
        <x:v>待拍摄/生成</x:v>
      </x:c>
      <x:c r="F4" s="12" t="str">
        <x:v>P0准备度</x:v>
      </x:c>
    </x:row>
    <x:row r="5" ht="42" customHeight="1">
      <x:c r="A5" s="14" t="n">
        <x:f>COUNTIF('素材台账'!$J$5:$J$70,"P0")</x:f>
        <x:v>46</x:v>
      </x:c>
      <x:c r="B5" s="14" t="n">
        <x:f>COUNTIFS('素材台账'!$J$5:$J$70,"P0",'素材台账'!$I$5:$I$70,"已有可用")+COUNTIFS('素材台账'!$J$5:$J$70,"P0",'素材台账'!$I$5:$I$70,"已有低清参考")</x:f>
        <x:v>14</x:v>
      </x:c>
      <x:c r="C5" s="14" t="n">
        <x:f>COUNTIFS('素材台账'!$J$5:$J$70,"P0",'素材台账'!$I$5:$I$70,"本轮模拟补齐")</x:f>
        <x:v>7</x:v>
      </x:c>
      <x:c r="D5" s="14" t="n">
        <x:f>COUNTIFS('素材台账'!$J$5:$J$70,"P0",'素材台账'!$I$5:$I$70,"待客户提供")</x:f>
        <x:v>11</x:v>
      </x:c>
      <x:c r="E5" s="14" t="n">
        <x:f>COUNTIFS('素材台账'!$J$5:$J$70,"P0",'素材台账'!$I$5:$I$70,"待拍摄/生成")</x:f>
        <x:v>14</x:v>
      </x:c>
      <x:c r="F5" s="15" t="n">
        <x:f>(B5+C5)/A5</x:f>
        <x:v>0.45652173913043476</x:v>
      </x:c>
    </x:row>
    <x:row r="8" ht="30" customHeight="1">
      <x:c r="A8" s="12" t="str">
        <x:v>场景</x:v>
      </x:c>
      <x:c r="B8" s="12" t="str">
        <x:v>优先级</x:v>
      </x:c>
      <x:c r="C8" s="12" t="str">
        <x:v>P0总项</x:v>
      </x:c>
      <x:c r="D8" s="12" t="str">
        <x:v>已准备</x:v>
      </x:c>
      <x:c r="E8" s="12" t="str">
        <x:v>待客户</x:v>
      </x:c>
      <x:c r="F8" s="12" t="str">
        <x:v>待图片</x:v>
      </x:c>
      <x:c r="G8" s="12" t="str">
        <x:v>准备度</x:v>
      </x:c>
      <x:c r="H8" s="12" t="str">
        <x:v>下一动作</x:v>
      </x:c>
    </x:row>
    <x:row r="9">
      <x:c r="A9" s="17" t="str">
        <x:v>菜品品质</x:v>
      </x:c>
      <x:c r="B9" s="17" t="str">
        <x:v>P0</x:v>
      </x:c>
      <x:c r="C9" s="17" t="n">
        <x:f>COUNTIFS('素材台账'!$B$5:$B$70,A9,'素材台账'!$J$5:$J$70,"P0")</x:f>
        <x:v>27</x:v>
      </x:c>
      <x:c r="D9" s="17" t="n">
        <x:f>COUNTIFS('素材台账'!$B$5:$B$70,A9,'素材台账'!$J$5:$J$70,"P0",'素材台账'!$I$5:$I$70,"已有可用")+COUNTIFS('素材台账'!$B$5:$B$70,A9,'素材台账'!$J$5:$J$70,"P0",'素材台账'!$I$5:$I$70,"已有低清参考")+COUNTIFS('素材台账'!$B$5:$B$70,A9,'素材台账'!$J$5:$J$70,"P0",'素材台账'!$I$5:$I$70,"本轮模拟补齐")</x:f>
        <x:v>10</x:v>
      </x:c>
      <x:c r="E9" s="17" t="n">
        <x:f>COUNTIFS('素材台账'!$B$5:$B$70,A9,'素材台账'!$J$5:$J$70,"P0",'素材台账'!$I$5:$I$70,"待客户提供")</x:f>
        <x:v>5</x:v>
      </x:c>
      <x:c r="F9" s="17" t="n">
        <x:f>COUNTIFS('素材台账'!$B$5:$B$70,A9,'素材台账'!$J$5:$J$70,"P0",'素材台账'!$I$5:$I$70,"待拍摄/生成")</x:f>
        <x:v>12</x:v>
      </x:c>
      <x:c r="G9" s="18" t="n">
        <x:f>IF(C9=0,1,D9/C9)</x:f>
        <x:v>0.37037037037037035</x:v>
      </x:c>
      <x:c r="H9" s="19" t="str">
        <x:v>优先生成8张品质证据图并向客户索取机器与收货实拍</x:v>
      </x:c>
    </x:row>
    <x:row r="10">
      <x:c r="A10" s="17" t="str">
        <x:v>精准备货</x:v>
      </x:c>
      <x:c r="B10" s="17" t="str">
        <x:v>P0</x:v>
      </x:c>
      <x:c r="C10" s="17" t="n">
        <x:f>COUNTIFS('素材台账'!$B$5:$B$70,A10,'素材台账'!$J$5:$J$70,"P0")</x:f>
        <x:v>8</x:v>
      </x:c>
      <x:c r="D10" s="17" t="n">
        <x:f>COUNTIFS('素材台账'!$B$5:$B$70,A10,'素材台账'!$J$5:$J$70,"P0",'素材台账'!$I$5:$I$70,"已有可用")+COUNTIFS('素材台账'!$B$5:$B$70,A10,'素材台账'!$J$5:$J$70,"P0",'素材台账'!$I$5:$I$70,"已有低清参考")+COUNTIFS('素材台账'!$B$5:$B$70,A10,'素材台账'!$J$5:$J$70,"P0",'素材台账'!$I$5:$I$70,"本轮模拟补齐")</x:f>
        <x:v>3</x:v>
      </x:c>
      <x:c r="E10" s="17" t="n">
        <x:f>COUNTIFS('素材台账'!$B$5:$B$70,A10,'素材台账'!$J$5:$J$70,"P0",'素材台账'!$I$5:$I$70,"待客户提供")</x:f>
        <x:v>3</x:v>
      </x:c>
      <x:c r="F10" s="17" t="n">
        <x:f>COUNTIFS('素材台账'!$B$5:$B$70,A10,'素材台账'!$J$5:$J$70,"P0",'素材台账'!$I$5:$I$70,"待拍摄/生成")</x:f>
        <x:v>2</x:v>
      </x:c>
      <x:c r="G10" s="18" t="n">
        <x:f>IF(C10=0,1,D10/C10)</x:f>
        <x:v>0.375</x:v>
      </x:c>
      <x:c r="H10" s="19" t="str">
        <x:v>生成库存/称重/采购单图片并补盘点报损样例</x:v>
      </x:c>
    </x:row>
    <x:row r="11">
      <x:c r="A11" s="17" t="str">
        <x:v>经营首页</x:v>
      </x:c>
      <x:c r="B11" s="17" t="str">
        <x:v>P0</x:v>
      </x:c>
      <x:c r="C11" s="17" t="n">
        <x:f>COUNTIFS('素材台账'!$B$5:$B$70,A11,'素材台账'!$J$5:$J$70,"P0")</x:f>
        <x:v>4</x:v>
      </x:c>
      <x:c r="D11" s="17" t="n">
        <x:f>COUNTIFS('素材台账'!$B$5:$B$70,A11,'素材台账'!$J$5:$J$70,"P0",'素材台账'!$I$5:$I$70,"已有可用")+COUNTIFS('素材台账'!$B$5:$B$70,A11,'素材台账'!$J$5:$J$70,"P0",'素材台账'!$I$5:$I$70,"已有低清参考")+COUNTIFS('素材台账'!$B$5:$B$70,A11,'素材台账'!$J$5:$J$70,"P0",'素材台账'!$I$5:$I$70,"本轮模拟补齐")</x:f>
        <x:v>4</x:v>
      </x:c>
      <x:c r="E11" s="17" t="n">
        <x:f>COUNTIFS('素材台账'!$B$5:$B$70,A11,'素材台账'!$J$5:$J$70,"P0",'素材台账'!$I$5:$I$70,"待客户提供")</x:f>
        <x:v>0</x:v>
      </x:c>
      <x:c r="F11" s="17" t="n">
        <x:f>COUNTIFS('素材台账'!$B$5:$B$70,A11,'素材台账'!$J$5:$J$70,"P0",'素材台账'!$I$5:$I$70,"待拍摄/生成")</x:f>
        <x:v>0</x:v>
      </x:c>
      <x:c r="G11" s="18" t="n">
        <x:f>IF(C11=0,1,D11/C11)</x:f>
        <x:v>1</x:v>
      </x:c>
      <x:c r="H11" s="19" t="str">
        <x:v>等核心场景页完成后聚合，不单独补数字</x:v>
      </x:c>
    </x:row>
    <x:row r="12">
      <x:c r="A12" s="17" t="str">
        <x:v>真实毛利</x:v>
      </x:c>
      <x:c r="B12" s="17" t="str">
        <x:v>P1</x:v>
      </x:c>
      <x:c r="C12" s="17" t="n">
        <x:f>COUNTIFS('素材台账'!$B$5:$B$70,A12,'素材台账'!$J$5:$J$70,"P0")</x:f>
        <x:v>2</x:v>
      </x:c>
      <x:c r="D12" s="17" t="n">
        <x:f>COUNTIFS('素材台账'!$B$5:$B$70,A12,'素材台账'!$J$5:$J$70,"P0",'素材台账'!$I$5:$I$70,"已有可用")+COUNTIFS('素材台账'!$B$5:$B$70,A12,'素材台账'!$J$5:$J$70,"P0",'素材台账'!$I$5:$I$70,"已有低清参考")+COUNTIFS('素材台账'!$B$5:$B$70,A12,'素材台账'!$J$5:$J$70,"P0",'素材台账'!$I$5:$I$70,"本轮模拟补齐")</x:f>
        <x:v>0</x:v>
      </x:c>
      <x:c r="E12" s="17" t="n">
        <x:f>COUNTIFS('素材台账'!$B$5:$B$70,A12,'素材台账'!$J$5:$J$70,"P0",'素材台账'!$I$5:$I$70,"待客户提供")</x:f>
        <x:v>2</x:v>
      </x:c>
      <x:c r="F12" s="17" t="n">
        <x:f>COUNTIFS('素材台账'!$B$5:$B$70,A12,'素材台账'!$J$5:$J$70,"P0",'素材台账'!$I$5:$I$70,"待拍摄/生成")</x:f>
        <x:v>0</x:v>
      </x:c>
      <x:c r="G12" s="18" t="n">
        <x:f>IF(C12=0,1,D12/C12)</x:f>
        <x:v>0</x:v>
      </x:c>
      <x:c r="H12" s="19" t="str">
        <x:v>索取采购价和外卖结算，先用三道菜做流程</x:v>
      </x:c>
    </x:row>
    <x:row r="13">
      <x:c r="A13" s="17" t="str">
        <x:v>顾客体验</x:v>
      </x:c>
      <x:c r="B13" s="17" t="str">
        <x:v>P1</x:v>
      </x:c>
      <x:c r="C13" s="17" t="n">
        <x:f>COUNTIFS('素材台账'!$B$5:$B$70,A13,'素材台账'!$J$5:$J$70,"P0")</x:f>
        <x:v>1</x:v>
      </x:c>
      <x:c r="D13" s="17" t="n">
        <x:f>COUNTIFS('素材台账'!$B$5:$B$70,A13,'素材台账'!$J$5:$J$70,"P0",'素材台账'!$I$5:$I$70,"已有可用")+COUNTIFS('素材台账'!$B$5:$B$70,A13,'素材台账'!$J$5:$J$70,"P0",'素材台账'!$I$5:$I$70,"已有低清参考")+COUNTIFS('素材台账'!$B$5:$B$70,A13,'素材台账'!$J$5:$J$70,"P0",'素材台账'!$I$5:$I$70,"本轮模拟补齐")</x:f>
        <x:v>1</x:v>
      </x:c>
      <x:c r="E13" s="17" t="n">
        <x:f>COUNTIFS('素材台账'!$B$5:$B$70,A13,'素材台账'!$J$5:$J$70,"P0",'素材台账'!$I$5:$I$70,"待客户提供")</x:f>
        <x:v>0</x:v>
      </x:c>
      <x:c r="F13" s="17" t="n">
        <x:f>COUNTIFS('素材台账'!$B$5:$B$70,A13,'素材台账'!$J$5:$J$70,"P0",'素材台账'!$I$5:$I$70,"待拍摄/生成")</x:f>
        <x:v>0</x:v>
      </x:c>
      <x:c r="G13" s="18" t="n">
        <x:f>IF(C13=0,1,D13/C13)</x:f>
        <x:v>1</x:v>
      </x:c>
      <x:c r="H13" s="19" t="str">
        <x:v>沿用点评主题，补菜单辣度与服务确认图片</x:v>
      </x:c>
    </x:row>
    <x:row r="14">
      <x:c r="A14" s="17" t="str">
        <x:v>外卖经营</x:v>
      </x:c>
      <x:c r="B14" s="17" t="str">
        <x:v>P2</x:v>
      </x:c>
      <x:c r="C14" s="17" t="n">
        <x:f>COUNTIFS('素材台账'!$B$5:$B$70,A14,'素材台账'!$J$5:$J$70,"P0")</x:f>
        <x:v>1</x:v>
      </x:c>
      <x:c r="D14" s="17" t="n">
        <x:f>COUNTIFS('素材台账'!$B$5:$B$70,A14,'素材台账'!$J$5:$J$70,"P0",'素材台账'!$I$5:$I$70,"已有可用")+COUNTIFS('素材台账'!$B$5:$B$70,A14,'素材台账'!$J$5:$J$70,"P0",'素材台账'!$I$5:$I$70,"已有低清参考")+COUNTIFS('素材台账'!$B$5:$B$70,A14,'素材台账'!$J$5:$J$70,"P0",'素材台账'!$I$5:$I$70,"本轮模拟补齐")</x:f>
        <x:v>0</x:v>
      </x:c>
      <x:c r="E14" s="17" t="n">
        <x:f>COUNTIFS('素材台账'!$B$5:$B$70,A14,'素材台账'!$J$5:$J$70,"P0",'素材台账'!$I$5:$I$70,"待客户提供")</x:f>
        <x:v>1</x:v>
      </x:c>
      <x:c r="F14" s="17" t="n">
        <x:f>COUNTIFS('素材台账'!$B$5:$B$70,A14,'素材台账'!$J$5:$J$70,"P0",'素材台账'!$I$5:$I$70,"待拍摄/生成")</x:f>
        <x:v>0</x:v>
      </x:c>
      <x:c r="G14" s="18" t="n">
        <x:f>IF(C14=0,1,D14/C14)</x:f>
        <x:v>0</x:v>
      </x:c>
      <x:c r="H14" s="19" t="str">
        <x:v>补一张脱敏订单小票和包装成本</x:v>
      </x:c>
    </x:row>
    <x:row r="15">
      <x:c r="A15" s="17" t="str">
        <x:v>任务与复盘</x:v>
      </x:c>
      <x:c r="B15" s="17" t="str">
        <x:v>P1</x:v>
      </x:c>
      <x:c r="C15" s="17" t="n">
        <x:f>COUNTIFS('素材台账'!$B$5:$B$70,A15,'素材台账'!$J$5:$J$70,"P0")</x:f>
        <x:v>1</x:v>
      </x:c>
      <x:c r="D15" s="17" t="n">
        <x:f>COUNTIFS('素材台账'!$B$5:$B$70,A15,'素材台账'!$J$5:$J$70,"P0",'素材台账'!$I$5:$I$70,"已有可用")+COUNTIFS('素材台账'!$B$5:$B$70,A15,'素材台账'!$J$5:$J$70,"P0",'素材台账'!$I$5:$I$70,"已有低清参考")+COUNTIFS('素材台账'!$B$5:$B$70,A15,'素材台账'!$J$5:$J$70,"P0",'素材台账'!$I$5:$I$70,"本轮模拟补齐")</x:f>
        <x:v>1</x:v>
      </x:c>
      <x:c r="E15" s="17" t="n">
        <x:f>COUNTIFS('素材台账'!$B$5:$B$70,A15,'素材台账'!$J$5:$J$70,"P0",'素材台账'!$I$5:$I$70,"待客户提供")</x:f>
        <x:v>0</x:v>
      </x:c>
      <x:c r="F15" s="17" t="n">
        <x:f>COUNTIFS('素材台账'!$B$5:$B$70,A15,'素材台账'!$J$5:$J$70,"P0",'素材台账'!$I$5:$I$70,"待拍摄/生成")</x:f>
        <x:v>0</x:v>
      </x:c>
      <x:c r="G15" s="18" t="n">
        <x:f>IF(C15=0,1,D15/C15)</x:f>
        <x:v>1</x:v>
      </x:c>
      <x:c r="H15" s="19" t="str">
        <x:v>复用各场景证据，设计验收三联图</x:v>
      </x:c>
    </x:row>
    <x:row r="18" ht="26" customHeight="1">
      <x:c r="A18" s="21" t="str">
        <x:v>本轮结论</x:v>
      </x:c>
      <x:c r="B18" s="21"/>
      <x:c r="C18" s="21"/>
      <x:c r="D18" s="21"/>
      <x:c r="E18" s="21"/>
      <x:c r="F18" s="21"/>
      <x:c r="G18" s="21"/>
      <x:c r="H18" s="21"/>
    </x:row>
    <x:row r="19" ht="28" customHeight="1">
      <x:c r="A19" s="24" t="str">
        <x:v>1. 数据和表单字段已足以开始流程页；图片是下一轮前最主要的视觉缺口。</x:v>
      </x:c>
      <x:c r="B19" s="24"/>
      <x:c r="C19" s="24"/>
      <x:c r="D19" s="24"/>
      <x:c r="E19" s="24"/>
      <x:c r="F19" s="24"/>
      <x:c r="G19" s="24"/>
      <x:c r="H19" s="24"/>
    </x:row>
    <x:row r="20" ht="28" customHeight="1">
      <x:c r="A20" s="24" t="str">
        <x:v>2. 菜品品质应先做小炒黄牛肉偏柴事件，它包含收货、前处理、机器、出餐、跨店调拨和验收。</x:v>
      </x:c>
      <x:c r="B20" s="24"/>
      <x:c r="C20" s="24"/>
      <x:c r="D20" s="24"/>
      <x:c r="E20" s="24"/>
      <x:c r="F20" s="24"/>
      <x:c r="G20" s="24"/>
      <x:c r="H20" s="24"/>
    </x:row>
    <x:row r="21" ht="28" customHeight="1">
      <x:c r="A21" s="24" t="str">
        <x:v>3. 精准备货应做青椒50kg→42kg→实际43kg事件，完整展示预测如何转成采购与复盘。</x:v>
      </x:c>
      <x:c r="B21" s="24"/>
      <x:c r="C21" s="24"/>
      <x:c r="D21" s="24"/>
      <x:c r="E21" s="24"/>
      <x:c r="F21" s="24"/>
      <x:c r="G21" s="24"/>
      <x:c r="H21" s="24"/>
    </x:row>
    <x:row r="22" ht="28" customHeight="1">
      <x:c r="A22" s="24" t="str">
        <x:v>4. 客户实拍优先用于设备、门店环境和真实单据；标准/异常食材与成品可先用AI生成Demo素材。</x:v>
      </x:c>
      <x:c r="B22" s="24"/>
      <x:c r="C22" s="24"/>
      <x:c r="D22" s="24"/>
      <x:c r="E22" s="24"/>
      <x:c r="F22" s="24"/>
      <x:c r="G22" s="24"/>
      <x:c r="H22" s="24"/>
    </x:row>
  </x:sheetData>
  <x:mergeCells>
    <x:mergeCell ref="A1:L1"/>
    <x:mergeCell ref="A2:L2"/>
    <x:mergeCell ref="A18:H18"/>
    <x:mergeCell ref="A19:H19"/>
    <x:mergeCell ref="A20:H20"/>
    <x:mergeCell ref="A21:H21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2" hidden="0" customWidth="1"/>
    <x:col min="4" max="4" width="28" hidden="0" customWidth="1"/>
    <x:col min="5" max="5" width="34" hidden="0" customWidth="1"/>
    <x:col min="6" max="6" width="34" hidden="0" customWidth="1"/>
    <x:col min="7" max="7" width="42" hidden="0" customWidth="1"/>
    <x:col min="8" max="8" width="34" hidden="0" customWidth="1"/>
    <x:col min="9" max="9" width="24" hidden="0" customWidth="1"/>
    <x:col min="10" max="10" width="10" hidden="0" customWidth="1"/>
    <x:col min="11" max="11" width="24" hidden="0" customWidth="1"/>
  </x:cols>
  <x:sheetData>
    <x:row r="1" ht="34" customHeight="1">
      <x:c r="A1" s="3" t="str">
        <x:v>场景与页面地图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7" t="str">
        <x:v>每个一级场景必须回答一个经营问题，并由多个角色与SOP节点共同完成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2" t="str">
        <x:v>场景ID</x:v>
      </x:c>
      <x:c r="B4" s="12" t="str">
        <x:v>一级场景</x:v>
      </x:c>
      <x:c r="C4" s="12" t="str">
        <x:v>商业价值</x:v>
      </x:c>
      <x:c r="D4" s="12" t="str">
        <x:v>主要角色</x:v>
      </x:c>
      <x:c r="E4" s="12" t="str">
        <x:v>要回答的问题</x:v>
      </x:c>
      <x:c r="F4" s="12" t="str">
        <x:v>输入证据</x:v>
      </x:c>
      <x:c r="G4" s="12" t="str">
        <x:v>完整SOP</x:v>
      </x:c>
      <x:c r="H4" s="12" t="str">
        <x:v>PC页面输出</x:v>
      </x:c>
      <x:c r="I4" s="12" t="str">
        <x:v>移动端承接</x:v>
      </x:c>
      <x:c r="J4" s="12" t="str">
        <x:v>优先级</x:v>
      </x:c>
      <x:c r="K4" s="12" t="str">
        <x:v>制作安排</x:v>
      </x:c>
    </x:row>
    <x:row r="5">
      <x:c r="A5" s="17" t="str">
        <x:v>SC-01</x:v>
      </x:c>
      <x:c r="B5" s="17" t="str">
        <x:v>经营首页</x:v>
      </x:c>
      <x:c r="C5" s="19" t="str">
        <x:v>平台聚合</x:v>
      </x:c>
      <x:c r="D5" s="19" t="str">
        <x:v>老板/总部运营/店长</x:v>
      </x:c>
      <x:c r="E5" s="19" t="str">
        <x:v>今天最该关注什么，谁在处理，结果如何</x:v>
      </x:c>
      <x:c r="F5" s="19" t="str">
        <x:v>各场景的指标、事件、任务与验收</x:v>
      </x:c>
      <x:c r="G5" s="19" t="str">
        <x:v>场景聚合→异常展开→责任人→下一动作→结果</x:v>
      </x:c>
      <x:c r="H5" s="19" t="str">
        <x:v>KPI、异常卡片、SOP展开态、右侧经营助理</x:v>
      </x:c>
      <x:c r="I5" s="19" t="str">
        <x:v>店长移动日清</x:v>
      </x:c>
      <x:c r="J5" s="17" t="str">
        <x:v>P0</x:v>
      </x:c>
      <x:c r="K5" s="17" t="str">
        <x:v>最后制作，先等场景页</x:v>
      </x:c>
    </x:row>
    <x:row r="6">
      <x:c r="A6" s="17" t="str">
        <x:v>SC-02</x:v>
      </x:c>
      <x:c r="B6" s="17" t="str">
        <x:v>菜品品质</x:v>
      </x:c>
      <x:c r="C6" s="19" t="str">
        <x:v>降低客诉与批次损失，复制稳定出品</x:v>
      </x:c>
      <x:c r="D6" s="19" t="str">
        <x:v>总部品控/采购/店长收货/后厨小工/炒菜机操作员/服务员</x:v>
      </x:c>
      <x:c r="E6" s="19" t="str">
        <x:v>问题发生在哪个节点，是否同批次复现，怎样闭环</x:v>
      </x:c>
      <x:c r="F6" s="19" t="str">
        <x:v>评价、收货批次、前处理、机器日志、成品、出餐</x:v>
      </x:c>
      <x:c r="G6" s="19" t="str">
        <x:v>反馈/上报→批次追溯→收货→前处理→机器→出餐→复验</x:v>
      </x:c>
      <x:c r="H6" s="19" t="str">
        <x:v>品质总览、事件详情、证据时间线、任务验收</x:v>
      </x:c>
      <x:c r="I6" s="19" t="str">
        <x:v>收货、备菜、机器、服务执行</x:v>
      </x:c>
      <x:c r="J6" s="17" t="str">
        <x:v>P0</x:v>
      </x:c>
      <x:c r="K6" s="17" t="str">
        <x:v>下一轮第一张流程页</x:v>
      </x:c>
    </x:row>
    <x:row r="7">
      <x:c r="A7" s="17" t="str">
        <x:v>SC-03</x:v>
      </x:c>
      <x:c r="B7" s="17" t="str">
        <x:v>精准备货</x:v>
      </x:c>
      <x:c r="C7" s="19" t="str">
        <x:v>减少缺货、余量和损耗</x:v>
      </x:c>
      <x:c r="D7" s="19" t="str">
        <x:v>总部运营/采购/店长/收货/后厨小工</x:v>
      </x:c>
      <x:c r="E7" s="19" t="str">
        <x:v>明天每店每种食材要多少，为什么，谁调整过</x:v>
      </x:c>
      <x:c r="F7" s="19" t="str">
        <x:v>销量预测、BOM、库存、损耗、在途、人工修正</x:v>
      </x:c>
      <x:c r="G7" s="19" t="str">
        <x:v>销量→菜品份数→食材换算→库存→采购/调拨→实际→复盘</x:v>
      </x:c>
      <x:c r="H7" s="19" t="str">
        <x:v>预测总览、食材换算、采购调拨、准确率复盘</x:v>
      </x:c>
      <x:c r="I7" s="19" t="str">
        <x:v>盘点、收货、损耗、调拨确认</x:v>
      </x:c>
      <x:c r="J7" s="17" t="str">
        <x:v>P0</x:v>
      </x:c>
      <x:c r="K7" s="17" t="str">
        <x:v>下一轮第二张流程页</x:v>
      </x:c>
    </x:row>
    <x:row r="8">
      <x:c r="A8" s="17" t="str">
        <x:v>SC-04</x:v>
      </x:c>
      <x:c r="B8" s="17" t="str">
        <x:v>真实毛利</x:v>
      </x:c>
      <x:c r="C8" s="19" t="str">
        <x:v>看清单菜和渠道的真实贡献</x:v>
      </x:c>
      <x:c r="D8" s="19" t="str">
        <x:v>老板/总部运营/采购/店长</x:v>
      </x:c>
      <x:c r="E8" s="19" t="str">
        <x:v>销量增长是否真正赚钱，哪一项成本在侵蚀贡献</x:v>
      </x:c>
      <x:c r="F8" s="19" t="str">
        <x:v>售价、BOM、采购价、折扣、佣金、包装</x:v>
      </x:c>
      <x:c r="G8" s="19" t="str">
        <x:v>售价与成本→渠道费用→单菜贡献→改善模拟→复盘</x:v>
      </x:c>
      <x:c r="H8" s="19" t="str">
        <x:v>门店/菜品毛利、单菜成本审计、渠道贡献</x:v>
      </x:c>
      <x:c r="I8" s="19" t="str">
        <x:v>采购价确认、报损原因</x:v>
      </x:c>
      <x:c r="J8" s="17" t="str">
        <x:v>P1</x:v>
      </x:c>
      <x:c r="K8" s="17" t="str">
        <x:v>第三批页面</x:v>
      </x:c>
    </x:row>
    <x:row r="9">
      <x:c r="A9" s="17" t="str">
        <x:v>SC-05</x:v>
      </x:c>
      <x:c r="B9" s="17" t="str">
        <x:v>顾客体验</x:v>
      </x:c>
      <x:c r="C9" s="19" t="str">
        <x:v>把点评主题变成可执行整改</x:v>
      </x:c>
      <x:c r="D9" s="19" t="str">
        <x:v>总部运营/店长/服务员/总部品控</x:v>
      </x:c>
      <x:c r="E9" s="19" t="str">
        <x:v>顾客在抱怨什么，和哪道菜、哪个批次相关</x:v>
      </x:c>
      <x:c r="F9" s="19" t="str">
        <x:v>点评、门店客诉、菜品、出餐、服务确认</x:v>
      </x:c>
      <x:c r="G9" s="19" t="str">
        <x:v>反馈聚类→事件关联→责任动作→7日复盘</x:v>
      </x:c>
      <x:c r="H9" s="19" t="str">
        <x:v>主题聚类、门店菜品追溯、整改复盘</x:v>
      </x:c>
      <x:c r="I9" s="19" t="str">
        <x:v>反馈标签、辣度确认、服务记录</x:v>
      </x:c>
      <x:c r="J9" s="17" t="str">
        <x:v>P1</x:v>
      </x:c>
      <x:c r="K9" s="17" t="str">
        <x:v>第三批页面</x:v>
      </x:c>
    </x:row>
    <x:row r="10">
      <x:c r="A10" s="17" t="str">
        <x:v>SC-06</x:v>
      </x:c>
      <x:c r="B10" s="17" t="str">
        <x:v>外卖经营</x:v>
      </x:c>
      <x:c r="C10" s="19" t="str">
        <x:v>优化每单贡献，不盲目追求规模</x:v>
      </x:c>
      <x:c r="D10" s="19" t="str">
        <x:v>老板/总部运营/店长</x:v>
      </x:c>
      <x:c r="E10" s="19" t="str">
        <x:v>活动后单笔是否赚钱，套餐如何调整</x:v>
      </x:c>
      <x:c r="F10" s="19" t="str">
        <x:v>外卖订单、折扣、佣金、包装、菜品成本</x:v>
      </x:c>
      <x:c r="G10" s="19" t="str">
        <x:v>订单→渠道费用→单笔贡献→组合模拟→上线→复盘</x:v>
      </x:c>
      <x:c r="H10" s="19" t="str">
        <x:v>外卖总览、活动测算、套餐组合</x:v>
      </x:c>
      <x:c r="I10" s="19" t="str">
        <x:v>订单异常、包装确认</x:v>
      </x:c>
      <x:c r="J10" s="17" t="str">
        <x:v>P2</x:v>
      </x:c>
      <x:c r="K10" s="17" t="str">
        <x:v>轻量场景页</x:v>
      </x:c>
    </x:row>
    <x:row r="11">
      <x:c r="A11" s="17" t="str">
        <x:v>SC-07</x:v>
      </x:c>
      <x:c r="B11" s="17" t="str">
        <x:v>任务与复盘</x:v>
      </x:c>
      <x:c r="C11" s="19" t="str">
        <x:v>让AI建议落到角色与证据</x:v>
      </x:c>
      <x:c r="D11" s="19" t="str">
        <x:v>老板/总部运营/各执行角色</x:v>
      </x:c>
      <x:c r="E11" s="19" t="str">
        <x:v>建议是否执行、谁验收、是否产生结果</x:v>
      </x:c>
      <x:c r="F11" s="19" t="str">
        <x:v>经营事件、任务、证据、截止时间、验收</x:v>
      </x:c>
      <x:c r="G11" s="19" t="str">
        <x:v>事件→任务→执行证据→验收→复盘</x:v>
      </x:c>
      <x:c r="H11" s="19" t="str">
        <x:v>我的待办、跨角色任务、验收中心</x:v>
      </x:c>
      <x:c r="I11" s="19" t="str">
        <x:v>个人待办、拍照、确认</x:v>
      </x:c>
      <x:c r="J11" s="17" t="str">
        <x:v>P1</x:v>
      </x:c>
      <x:c r="K11" s="17" t="str">
        <x:v>平台支持页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58af47f990f4e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6" hidden="0" customWidth="1"/>
    <x:col min="5" max="5" width="34" hidden="0" customWidth="1"/>
    <x:col min="6" max="6" width="34" hidden="0" customWidth="1"/>
    <x:col min="7" max="7" width="28" hidden="0" customWidth="1"/>
    <x:col min="8" max="8" width="28" hidden="0" customWidth="1"/>
    <x:col min="9" max="9" width="14" hidden="0" customWidth="1"/>
    <x:col min="10" max="10" width="34" hidden="0" customWidth="1"/>
  </x:cols>
  <x:sheetData>
    <x:row r="1" ht="34" customHeight="1">
      <x:c r="A1" s="3" t="str">
        <x:v>角色任务矩阵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PC负责判断与协同，移动端负责采集、执行与验收；同一角色可跨多个场景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2" t="str">
        <x:v>记录ID</x:v>
      </x:c>
      <x:c r="B4" s="12" t="str">
        <x:v>角色</x:v>
      </x:c>
      <x:c r="C4" s="12" t="str">
        <x:v>组织层级</x:v>
      </x:c>
      <x:c r="D4" s="12" t="str">
        <x:v>场景</x:v>
      </x:c>
      <x:c r="E4" s="12" t="str">
        <x:v>核心任务</x:v>
      </x:c>
      <x:c r="F4" s="12" t="str">
        <x:v>输入</x:v>
      </x:c>
      <x:c r="G4" s="12" t="str">
        <x:v>动作/权限</x:v>
      </x:c>
      <x:c r="H4" s="12" t="str">
        <x:v>输出证据</x:v>
      </x:c>
      <x:c r="I4" s="12" t="str">
        <x:v>主要终端</x:v>
      </x:c>
      <x:c r="J4" s="12" t="str">
        <x:v>设计提醒</x:v>
      </x:c>
    </x:row>
    <x:row r="5">
      <x:c r="A5" s="17" t="str">
        <x:v>R01</x:v>
      </x:c>
      <x:c r="B5" s="17" t="str">
        <x:v>老板</x:v>
      </x:c>
      <x:c r="C5" s="17" t="str">
        <x:v>总部</x:v>
      </x:c>
      <x:c r="D5" s="17" t="str">
        <x:v>经营首页</x:v>
      </x:c>
      <x:c r="E5" s="19" t="str">
        <x:v>查看经营结论、风险金额和跨店趋势</x:v>
      </x:c>
      <x:c r="F5" s="19" t="str">
        <x:v>7天流水、贡献毛利、开放事件、待办</x:v>
      </x:c>
      <x:c r="G5" s="19" t="str">
        <x:v>批准重大采购/供应商/活动调整</x:v>
      </x:c>
      <x:c r="H5" s="19" t="str">
        <x:v>经营决策与复盘结论</x:v>
      </x:c>
      <x:c r="I5" s="19" t="str">
        <x:v>PC</x:v>
      </x:c>
      <x:c r="J5" s="19" t="str">
        <x:v>结果视图，不看过多执行字段</x:v>
      </x:c>
    </x:row>
    <x:row r="6">
      <x:c r="A6" s="17" t="str">
        <x:v>R02</x:v>
      </x:c>
      <x:c r="B6" s="17" t="str">
        <x:v>老板</x:v>
      </x:c>
      <x:c r="C6" s="17" t="str">
        <x:v>总部</x:v>
      </x:c>
      <x:c r="D6" s="17" t="str">
        <x:v>真实毛利</x:v>
      </x:c>
      <x:c r="E6" s="19" t="str">
        <x:v>判断低价菜、活动和供应商变化是否值得</x:v>
      </x:c>
      <x:c r="F6" s="19" t="str">
        <x:v>单菜成本、渠道费用、改善模拟</x:v>
      </x:c>
      <x:c r="G6" s="19" t="str">
        <x:v>批准价格、套餐和供应商策略</x:v>
      </x:c>
      <x:c r="H6" s="19" t="str">
        <x:v>决策记录</x:v>
      </x:c>
      <x:c r="I6" s="19" t="str">
        <x:v>PC</x:v>
      </x:c>
      <x:c r="J6" s="19" t="str">
        <x:v>需要显示不含房租人工的口径边界</x:v>
      </x:c>
    </x:row>
    <x:row r="7">
      <x:c r="A7" s="17" t="str">
        <x:v>R03</x:v>
      </x:c>
      <x:c r="B7" s="17" t="str">
        <x:v>总部运营</x:v>
      </x:c>
      <x:c r="C7" s="17" t="str">
        <x:v>总部</x:v>
      </x:c>
      <x:c r="D7" s="17" t="str">
        <x:v>经营首页</x:v>
      </x:c>
      <x:c r="E7" s="19" t="str">
        <x:v>每天生成5个最该关注的问题</x:v>
      </x:c>
      <x:c r="F7" s="19" t="str">
        <x:v>各场景聚合指标与事件</x:v>
      </x:c>
      <x:c r="G7" s="19" t="str">
        <x:v>分派、催办、升级</x:v>
      </x:c>
      <x:c r="H7" s="19" t="str">
        <x:v>跨场景任务清单</x:v>
      </x:c>
      <x:c r="I7" s="19" t="str">
        <x:v>PC</x:v>
      </x:c>
      <x:c r="J7" s="19" t="str">
        <x:v>首页主要使用者</x:v>
      </x:c>
    </x:row>
    <x:row r="8">
      <x:c r="A8" s="17" t="str">
        <x:v>R04</x:v>
      </x:c>
      <x:c r="B8" s="17" t="str">
        <x:v>总部运营</x:v>
      </x:c>
      <x:c r="C8" s="17" t="str">
        <x:v>总部</x:v>
      </x:c>
      <x:c r="D8" s="17" t="str">
        <x:v>精准备货</x:v>
      </x:c>
      <x:c r="E8" s="19" t="str">
        <x:v>审核预测和门店人工修正</x:v>
      </x:c>
      <x:c r="F8" s="19" t="str">
        <x:v>销量、库存、损耗、在途、预测</x:v>
      </x:c>
      <x:c r="G8" s="19" t="str">
        <x:v>批准建议量和调拨</x:v>
      </x:c>
      <x:c r="H8" s="19" t="str">
        <x:v>采购/调拨计划</x:v>
      </x:c>
      <x:c r="I8" s="19" t="str">
        <x:v>PC</x:v>
      </x:c>
      <x:c r="J8" s="19" t="str">
        <x:v>保留人工修正理由</x:v>
      </x:c>
    </x:row>
    <x:row r="9">
      <x:c r="A9" s="17" t="str">
        <x:v>R05</x:v>
      </x:c>
      <x:c r="B9" s="17" t="str">
        <x:v>总部运营</x:v>
      </x:c>
      <x:c r="C9" s="17" t="str">
        <x:v>总部</x:v>
      </x:c>
      <x:c r="D9" s="17" t="str">
        <x:v>顾客体验</x:v>
      </x:c>
      <x:c r="E9" s="19" t="str">
        <x:v>聚类反馈并推动整改</x:v>
      </x:c>
      <x:c r="F9" s="19" t="str">
        <x:v>点评、客诉、出餐与门店信息</x:v>
      </x:c>
      <x:c r="G9" s="19" t="str">
        <x:v>创建事件、设置复盘指标</x:v>
      </x:c>
      <x:c r="H9" s="19" t="str">
        <x:v>整改方案</x:v>
      </x:c>
      <x:c r="I9" s="19" t="str">
        <x:v>PC</x:v>
      </x:c>
      <x:c r="J9" s="19" t="str">
        <x:v>主题不是差评率</x:v>
      </x:c>
    </x:row>
    <x:row r="10">
      <x:c r="A10" s="17" t="str">
        <x:v>R06</x:v>
      </x:c>
      <x:c r="B10" s="17" t="str">
        <x:v>总部品控</x:v>
      </x:c>
      <x:c r="C10" s="17" t="str">
        <x:v>总部</x:v>
      </x:c>
      <x:c r="D10" s="17" t="str">
        <x:v>菜品品质</x:v>
      </x:c>
      <x:c r="E10" s="19" t="str">
        <x:v>判断问题位于原料、前处理、机器还是出餐</x:v>
      </x:c>
      <x:c r="F10" s="19" t="str">
        <x:v>批次、感官、克重、菜谱版本、成品与反馈</x:v>
      </x:c>
      <x:c r="G10" s="19" t="str">
        <x:v>隔离批次、复验、供应商整改</x:v>
      </x:c>
      <x:c r="H10" s="19" t="str">
        <x:v>根因与验收结论</x:v>
      </x:c>
      <x:c r="I10" s="19" t="str">
        <x:v>PC</x:v>
      </x:c>
      <x:c r="J10" s="19" t="str">
        <x:v>事实与推断必须分开</x:v>
      </x:c>
    </x:row>
    <x:row r="11">
      <x:c r="A11" s="17" t="str">
        <x:v>R07</x:v>
      </x:c>
      <x:c r="B11" s="17" t="str">
        <x:v>采购</x:v>
      </x:c>
      <x:c r="C11" s="17" t="str">
        <x:v>总部/移动</x:v>
      </x:c>
      <x:c r="D11" s="17" t="str">
        <x:v>精准备货</x:v>
      </x:c>
      <x:c r="E11" s="19" t="str">
        <x:v>把预测转成采购和调拨</x:v>
      </x:c>
      <x:c r="F11" s="19" t="str">
        <x:v>最终建议、库存、在途、供应商起订量</x:v>
      </x:c>
      <x:c r="G11" s="19" t="str">
        <x:v>下单、调拨、退换</x:v>
      </x:c>
      <x:c r="H11" s="19" t="str">
        <x:v>采购单与调拨单</x:v>
      </x:c>
      <x:c r="I11" s="19" t="str">
        <x:v>PC+移动</x:v>
      </x:c>
      <x:c r="J11" s="19" t="str">
        <x:v>需要审批入口</x:v>
      </x:c>
    </x:row>
    <x:row r="12">
      <x:c r="A12" s="17" t="str">
        <x:v>R08</x:v>
      </x:c>
      <x:c r="B12" s="17" t="str">
        <x:v>采购</x:v>
      </x:c>
      <x:c r="C12" s="17" t="str">
        <x:v>总部/移动</x:v>
      </x:c>
      <x:c r="D12" s="17" t="str">
        <x:v>菜品品质</x:v>
      </x:c>
      <x:c r="E12" s="19" t="str">
        <x:v>处理异常批次与供应商</x:v>
      </x:c>
      <x:c r="F12" s="19" t="str">
        <x:v>批次、退换量、复验结果</x:v>
      </x:c>
      <x:c r="G12" s="19" t="str">
        <x:v>暂停、退换、供应商整改</x:v>
      </x:c>
      <x:c r="H12" s="19" t="str">
        <x:v>退换单与整改记录</x:v>
      </x:c>
      <x:c r="I12" s="19" t="str">
        <x:v>PC+移动</x:v>
      </x:c>
      <x:c r="J12" s="19" t="str">
        <x:v>与收货记录强关联</x:v>
      </x:c>
    </x:row>
    <x:row r="13">
      <x:c r="A13" s="17" t="str">
        <x:v>R09</x:v>
      </x:c>
      <x:c r="B13" s="17" t="str">
        <x:v>店长/收货</x:v>
      </x:c>
      <x:c r="C13" s="17" t="str">
        <x:v>门店</x:v>
      </x:c>
      <x:c r="D13" s="17" t="str">
        <x:v>菜品品质</x:v>
      </x:c>
      <x:c r="E13" s="19" t="str">
        <x:v>完成到货验收并对异常先隔离</x:v>
      </x:c>
      <x:c r="F13" s="19" t="str">
        <x:v>订单、批次、数量、温度、感官与照片</x:v>
      </x:c>
      <x:c r="G13" s="19" t="str">
        <x:v>接收/拒收/隔离/上报</x:v>
      </x:c>
      <x:c r="H13" s="19" t="str">
        <x:v>收货记录与照片</x:v>
      </x:c>
      <x:c r="I13" s="19" t="str">
        <x:v>移动</x:v>
      </x:c>
      <x:c r="J13" s="19" t="str">
        <x:v>可由店长兼任但角色要独立</x:v>
      </x:c>
    </x:row>
    <x:row r="14">
      <x:c r="A14" s="17" t="str">
        <x:v>R10</x:v>
      </x:c>
      <x:c r="B14" s="17" t="str">
        <x:v>店长/收货</x:v>
      </x:c>
      <x:c r="C14" s="17" t="str">
        <x:v>门店</x:v>
      </x:c>
      <x:c r="D14" s="17" t="str">
        <x:v>精准备货</x:v>
      </x:c>
      <x:c r="E14" s="19" t="str">
        <x:v>确认库存、在途和门店修正</x:v>
      </x:c>
      <x:c r="F14" s="19" t="str">
        <x:v>盘点、损耗、预订和特殊事件</x:v>
      </x:c>
      <x:c r="G14" s="19" t="str">
        <x:v>提交修正理由、确认收货</x:v>
      </x:c>
      <x:c r="H14" s="19" t="str">
        <x:v>库存快照与修正记录</x:v>
      </x:c>
      <x:c r="I14" s="19" t="str">
        <x:v>移动+PC</x:v>
      </x:c>
      <x:c r="J14" s="19" t="str">
        <x:v>不允许只报一个数字</x:v>
      </x:c>
    </x:row>
    <x:row r="15">
      <x:c r="A15" s="17" t="str">
        <x:v>R11</x:v>
      </x:c>
      <x:c r="B15" s="17" t="str">
        <x:v>后厨小工</x:v>
      </x:c>
      <x:c r="C15" s="17" t="str">
        <x:v>门店</x:v>
      </x:c>
      <x:c r="D15" s="17" t="str">
        <x:v>菜品品质</x:v>
      </x:c>
      <x:c r="E15" s="19" t="str">
        <x:v>按SOP完成切配、浸泡、腌制和分装</x:v>
      </x:c>
      <x:c r="F15" s="19" t="str">
        <x:v>食材批次、目标量、规格、时间温度</x:v>
      </x:c>
      <x:c r="G15" s="19" t="str">
        <x:v>扫码领料、计时、拍照、报损</x:v>
      </x:c>
      <x:c r="H15" s="19" t="str">
        <x:v>预处理批次记录</x:v>
      </x:c>
      <x:c r="I15" s="19" t="str">
        <x:v>移动</x:v>
      </x:c>
      <x:c r="J15" s="19" t="str">
        <x:v>是关键数据采集角色</x:v>
      </x:c>
    </x:row>
    <x:row r="16">
      <x:c r="A16" s="17" t="str">
        <x:v>R12</x:v>
      </x:c>
      <x:c r="B16" s="17" t="str">
        <x:v>后厨小工</x:v>
      </x:c>
      <x:c r="C16" s="17" t="str">
        <x:v>门店</x:v>
      </x:c>
      <x:c r="D16" s="17" t="str">
        <x:v>精准备货</x:v>
      </x:c>
      <x:c r="E16" s="19" t="str">
        <x:v>记录实际领用和损耗</x:v>
      </x:c>
      <x:c r="F16" s="19" t="str">
        <x:v>备货任务、库存和当日销量</x:v>
      </x:c>
      <x:c r="G16" s="19" t="str">
        <x:v>领料、退料、报损</x:v>
      </x:c>
      <x:c r="H16" s="19" t="str">
        <x:v>实际耗用与损耗</x:v>
      </x:c>
      <x:c r="I16" s="19" t="str">
        <x:v>移动</x:v>
      </x:c>
      <x:c r="J16" s="19" t="str">
        <x:v>决定预测复盘可信度</x:v>
      </x:c>
    </x:row>
    <x:row r="17">
      <x:c r="A17" s="17" t="str">
        <x:v>R13</x:v>
      </x:c>
      <x:c r="B17" s="17" t="str">
        <x:v>炒菜机操作员</x:v>
      </x:c>
      <x:c r="C17" s="17" t="str">
        <x:v>门店</x:v>
      </x:c>
      <x:c r="D17" s="17" t="str">
        <x:v>菜品品质</x:v>
      </x:c>
      <x:c r="E17" s="19" t="str">
        <x:v>选择正确菜谱并按克重投料</x:v>
      </x:c>
      <x:c r="F17" s="19" t="str">
        <x:v>菜谱版本、食材份量、调料投放、设备状态</x:v>
      </x:c>
      <x:c r="G17" s="19" t="str">
        <x:v>称重、执行、异常暂停、成品拍照</x:v>
      </x:c>
      <x:c r="H17" s="19" t="str">
        <x:v>机器执行日志</x:v>
      </x:c>
      <x:c r="I17" s="19" t="str">
        <x:v>移动/机器屏</x:v>
      </x:c>
      <x:c r="J17" s="19" t="str">
        <x:v>厨师更接近设备操作工</x:v>
      </x:c>
    </x:row>
    <x:row r="18">
      <x:c r="A18" s="17" t="str">
        <x:v>R14</x:v>
      </x:c>
      <x:c r="B18" s="17" t="str">
        <x:v>服务员</x:v>
      </x:c>
      <x:c r="C18" s="17" t="str">
        <x:v>门店</x:v>
      </x:c>
      <x:c r="D18" s="17" t="str">
        <x:v>顾客体验</x:v>
      </x:c>
      <x:c r="E18" s="19" t="str">
        <x:v>确认辣度、出餐与即时反馈</x:v>
      </x:c>
      <x:c r="F18" s="19" t="str">
        <x:v>订单、菜品、等待时间和提示标签</x:v>
      </x:c>
      <x:c r="G18" s="19" t="str">
        <x:v>二次确认、反馈标签、客诉上报</x:v>
      </x:c>
      <x:c r="H18" s="19" t="str">
        <x:v>服务记录</x:v>
      </x:c>
      <x:c r="I18" s="19" t="str">
        <x:v>移动</x:v>
      </x:c>
      <x:c r="J18" s="19" t="str">
        <x:v>最轻量的三步交互</x:v>
      </x:c>
    </x:row>
    <x:row r="19">
      <x:c r="A19" s="17" t="str">
        <x:v>R15</x:v>
      </x:c>
      <x:c r="B19" s="17" t="str">
        <x:v>店长</x:v>
      </x:c>
      <x:c r="C19" s="17" t="str">
        <x:v>门店</x:v>
      </x:c>
      <x:c r="D19" s="17" t="str">
        <x:v>任务与复盘</x:v>
      </x:c>
      <x:c r="E19" s="19" t="str">
        <x:v>验收一线动作并完成门店日清</x:v>
      </x:c>
      <x:c r="F19" s="19" t="str">
        <x:v>待办、执行证据、缺货损耗和客诉</x:v>
      </x:c>
      <x:c r="G19" s="19" t="str">
        <x:v>验收/驳回/升级</x:v>
      </x:c>
      <x:c r="H19" s="19" t="str">
        <x:v>门店日结</x:v>
      </x:c>
      <x:c r="I19" s="19" t="str">
        <x:v>移动+PC</x:v>
      </x:c>
      <x:c r="J19" s="19" t="str">
        <x:v>负责闭环而非只接收通知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8c9151e3ed244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28" hidden="0" customWidth="1"/>
    <x:col min="7" max="7" width="46" hidden="0" customWidth="1"/>
    <x:col min="8" max="8" width="12" hidden="0" customWidth="1"/>
    <x:col min="9" max="9" width="16" hidden="0" customWidth="1"/>
    <x:col min="10" max="10" width="10" hidden="0" customWidth="1"/>
    <x:col min="11" max="11" width="20" hidden="0" customWidth="1"/>
    <x:col min="12" max="12" width="20" hidden="0" customWidth="1"/>
    <x:col min="13" max="13" width="52" hidden="0" customWidth="1"/>
    <x:col min="14" max="14" width="28" hidden="0" customWidth="1"/>
  </x:cols>
  <x:sheetData>
    <x:row r="1" ht="34" customHeight="1">
      <x:c r="A1" s="3" t="str">
        <x:v>素材台账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每份素材必须绑定场景、SOP节点、角色、事件或批次；图片和数据不能成为孤立装饰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12" t="str">
        <x:v>素材ID</x:v>
      </x:c>
      <x:c r="B4" s="12" t="str">
        <x:v>场景</x:v>
      </x:c>
      <x:c r="C4" s="12" t="str">
        <x:v>SOP节点</x:v>
      </x:c>
      <x:c r="D4" s="12" t="str">
        <x:v>角色/提供方</x:v>
      </x:c>
      <x:c r="E4" s="12" t="str">
        <x:v>类型</x:v>
      </x:c>
      <x:c r="F4" s="12" t="str">
        <x:v>素材名称</x:v>
      </x:c>
      <x:c r="G4" s="12" t="str">
        <x:v>具体内容/字段</x:v>
      </x:c>
      <x:c r="H4" s="12" t="str">
        <x:v>数据标签</x:v>
      </x:c>
      <x:c r="I4" s="12" t="str">
        <x:v>状态</x:v>
      </x:c>
      <x:c r="J4" s="12" t="str">
        <x:v>优先级</x:v>
      </x:c>
      <x:c r="K4" s="12" t="str">
        <x:v>关联事件</x:v>
      </x:c>
      <x:c r="L4" s="12" t="str">
        <x:v>批次/记录</x:v>
      </x:c>
      <x:c r="M4" s="12" t="str">
        <x:v>来源或计划文件</x:v>
      </x:c>
      <x:c r="N4" s="12" t="str">
        <x:v>页面用途</x:v>
      </x:c>
    </x:row>
    <x:row r="5">
      <x:c r="A5" s="17" t="str">
        <x:v>SRC-001</x:v>
      </x:c>
      <x:c r="B5" s="17" t="str">
        <x:v>经营首页</x:v>
      </x:c>
      <x:c r="C5" s="17" t="str">
        <x:v>菜单与基础数据</x:v>
      </x:c>
      <x:c r="D5" s="17" t="str">
        <x:v>产品</x:v>
      </x:c>
      <x:c r="E5" s="17" t="str">
        <x:v>截图</x:v>
      </x:c>
      <x:c r="F5" s="19" t="str">
        <x:v>门店菜单板</x:v>
      </x:c>
      <x:c r="G5" s="19" t="str">
        <x:v>菜名、价格、品类</x:v>
      </x:c>
      <x:c r="H5" s="19" t="str">
        <x:v>F</x:v>
      </x:c>
      <x:c r="I5" s="19" t="str">
        <x:v>已有低清参考</x:v>
      </x:c>
      <x:c r="J5" s="19" t="str">
        <x:v>P0</x:v>
      </x:c>
      <x:c r="K5" s="19" t="str"/>
      <x:c r="L5" s="19" t="str"/>
      <x:c r="M5" s="19" t="str">
        <x:v>原始截图/img_v3_0213i_381f...jpg</x:v>
      </x:c>
      <x:c r="N5" s="19" t="str">
        <x:v>菜单池与价格参考</x:v>
      </x:c>
    </x:row>
    <x:row r="6">
      <x:c r="A6" s="17" t="str">
        <x:v>SRC-002</x:v>
      </x:c>
      <x:c r="B6" s="17" t="str">
        <x:v>顾客体验</x:v>
      </x:c>
      <x:c r="C6" s="17" t="str">
        <x:v>评价主题</x:v>
      </x:c>
      <x:c r="D6" s="17" t="str">
        <x:v>总部运营</x:v>
      </x:c>
      <x:c r="E6" s="17" t="str">
        <x:v>截图</x:v>
      </x:c>
      <x:c r="F6" s="19" t="str">
        <x:v>大众点评评价长图</x:v>
      </x:c>
      <x:c r="G6" s="19" t="str">
        <x:v>辣度、牛肉口感、出餐与服务主题</x:v>
      </x:c>
      <x:c r="H6" s="19" t="str">
        <x:v>F</x:v>
      </x:c>
      <x:c r="I6" s="19" t="str">
        <x:v>已有低清参考</x:v>
      </x:c>
      <x:c r="J6" s="19" t="str">
        <x:v>P0</x:v>
      </x:c>
      <x:c r="K6" s="19" t="str">
        <x:v>EV-C-001/EV-Q-001</x:v>
      </x:c>
      <x:c r="L6" s="19" t="str"/>
      <x:c r="M6" s="19" t="str">
        <x:v>原始截图/img_v3_0213i_235f...jpg</x:v>
      </x:c>
      <x:c r="N6" s="19" t="str">
        <x:v>主题提取，不计算真实差评率</x:v>
      </x:c>
    </x:row>
    <x:row r="7">
      <x:c r="A7" s="17" t="str">
        <x:v>SRC-003</x:v>
      </x:c>
      <x:c r="B7" s="17" t="str">
        <x:v>顾客体验</x:v>
      </x:c>
      <x:c r="C7" s="17" t="str">
        <x:v>清蒸鲈鱼评价</x:v>
      </x:c>
      <x:c r="D7" s="17" t="str">
        <x:v>总部运营</x:v>
      </x:c>
      <x:c r="E7" s="17" t="str">
        <x:v>截图</x:v>
      </x:c>
      <x:c r="F7" s="19" t="str">
        <x:v>清蒸鲈鱼评价页</x:v>
      </x:c>
      <x:c r="G7" s="19" t="str">
        <x:v>稳定、口味与服务主题</x:v>
      </x:c>
      <x:c r="H7" s="19" t="str">
        <x:v>F</x:v>
      </x:c>
      <x:c r="I7" s="19" t="str">
        <x:v>已有低清参考</x:v>
      </x:c>
      <x:c r="J7" s="19" t="str">
        <x:v>P1</x:v>
      </x:c>
      <x:c r="K7" s="19" t="str"/>
      <x:c r="L7" s="19" t="str"/>
      <x:c r="M7" s="19" t="str">
        <x:v>原始截图/img_v3_0213i_f84c...jpg</x:v>
      </x:c>
      <x:c r="N7" s="19" t="str">
        <x:v>正向体验参考</x:v>
      </x:c>
    </x:row>
    <x:row r="8">
      <x:c r="A8" s="17" t="str">
        <x:v>SRC-004</x:v>
      </x:c>
      <x:c r="B8" s="17" t="str">
        <x:v>经营首页</x:v>
      </x:c>
      <x:c r="C8" s="17" t="str">
        <x:v>菜品热度</x:v>
      </x:c>
      <x:c r="D8" s="17" t="str">
        <x:v>产品</x:v>
      </x:c>
      <x:c r="E8" s="17" t="str">
        <x:v>截图</x:v>
      </x:c>
      <x:c r="F8" s="19" t="str">
        <x:v>推荐菜1-6</x:v>
      </x:c>
      <x:c r="G8" s="19" t="str">
        <x:v>菜名、价格、点赞热度</x:v>
      </x:c>
      <x:c r="H8" s="19" t="str">
        <x:v>F</x:v>
      </x:c>
      <x:c r="I8" s="19" t="str">
        <x:v>已有低清参考</x:v>
      </x:c>
      <x:c r="J8" s="19" t="str">
        <x:v>P0</x:v>
      </x:c>
      <x:c r="K8" s="19" t="str"/>
      <x:c r="L8" s="19" t="str"/>
      <x:c r="M8" s="19" t="str">
        <x:v>原始截图/img_v3_0213i_4efc...jpg</x:v>
      </x:c>
      <x:c r="N8" s="19" t="str">
        <x:v>热销菜权重参考</x:v>
      </x:c>
    </x:row>
    <x:row r="9">
      <x:c r="A9" s="17" t="str">
        <x:v>SRC-005</x:v>
      </x:c>
      <x:c r="B9" s="17" t="str">
        <x:v>经营首页</x:v>
      </x:c>
      <x:c r="C9" s="17" t="str">
        <x:v>菜品热度</x:v>
      </x:c>
      <x:c r="D9" s="17" t="str">
        <x:v>产品</x:v>
      </x:c>
      <x:c r="E9" s="17" t="str">
        <x:v>截图</x:v>
      </x:c>
      <x:c r="F9" s="19" t="str">
        <x:v>推荐菜7-10</x:v>
      </x:c>
      <x:c r="G9" s="19" t="str">
        <x:v>菜名、价格、点赞热度</x:v>
      </x:c>
      <x:c r="H9" s="19" t="str">
        <x:v>F</x:v>
      </x:c>
      <x:c r="I9" s="19" t="str">
        <x:v>已有低清参考</x:v>
      </x:c>
      <x:c r="J9" s="19" t="str">
        <x:v>P1</x:v>
      </x:c>
      <x:c r="K9" s="19" t="str"/>
      <x:c r="L9" s="19" t="str"/>
      <x:c r="M9" s="19" t="str">
        <x:v>原始截图/img_v3_0213i_988d...jpg</x:v>
      </x:c>
      <x:c r="N9" s="19" t="str">
        <x:v>长尾菜参考</x:v>
      </x:c>
    </x:row>
    <x:row r="10">
      <x:c r="A10" s="17" t="str">
        <x:v>SRC-006</x:v>
      </x:c>
      <x:c r="B10" s="17" t="str">
        <x:v>经营首页</x:v>
      </x:c>
      <x:c r="C10" s="17" t="str">
        <x:v>门店基础</x:v>
      </x:c>
      <x:c r="D10" s="17" t="str">
        <x:v>产品</x:v>
      </x:c>
      <x:c r="E10" s="17" t="str">
        <x:v>截图</x:v>
      </x:c>
      <x:c r="F10" s="19" t="str">
        <x:v>门店列表</x:v>
      </x:c>
      <x:c r="G10" s="19" t="str">
        <x:v>门店名、评分、客单价</x:v>
      </x:c>
      <x:c r="H10" s="19" t="str">
        <x:v>F</x:v>
      </x:c>
      <x:c r="I10" s="19" t="str">
        <x:v>已有低清参考</x:v>
      </x:c>
      <x:c r="J10" s="19" t="str">
        <x:v>P0</x:v>
      </x:c>
      <x:c r="K10" s="19" t="str"/>
      <x:c r="L10" s="19" t="str"/>
      <x:c r="M10" s="19" t="str">
        <x:v>原始截图/img_v3_0213i_6d01...jpg</x:v>
      </x:c>
      <x:c r="N10" s="19" t="str">
        <x:v>门店池参考</x:v>
      </x:c>
    </x:row>
    <x:row r="11">
      <x:c r="A11" s="17" t="str">
        <x:v>SRC-007</x:v>
      </x:c>
      <x:c r="B11" s="17" t="str">
        <x:v>菜品品质</x:v>
      </x:c>
      <x:c r="C11" s="17" t="str">
        <x:v>菜谱</x:v>
      </x:c>
      <x:c r="D11" s="17" t="str">
        <x:v>炒菜机操作员</x:v>
      </x:c>
      <x:c r="E11" s="17" t="str">
        <x:v>截图</x:v>
      </x:c>
      <x:c r="F11" s="19" t="str">
        <x:v>辣椒炒肉机器菜谱</x:v>
      </x:c>
      <x:c r="G11" s="19" t="str">
        <x:v>5种食材、8种调料克重</x:v>
      </x:c>
      <x:c r="H11" s="19" t="str">
        <x:v>F</x:v>
      </x:c>
      <x:c r="I11" s="19" t="str">
        <x:v>已有可用</x:v>
      </x:c>
      <x:c r="J11" s="19" t="str">
        <x:v>P0</x:v>
      </x:c>
      <x:c r="K11" s="19" t="str"/>
      <x:c r="L11" s="19" t="str">
        <x:v>R2.3</x:v>
      </x:c>
      <x:c r="M11" s="19" t="str">
        <x:v>原始截图/img_v3_0213i_fbcf...jpg</x:v>
      </x:c>
      <x:c r="N11" s="19" t="str">
        <x:v>精确BOM</x:v>
      </x:c>
    </x:row>
    <x:row r="12">
      <x:c r="A12" s="17" t="str">
        <x:v>SRC-008</x:v>
      </x:c>
      <x:c r="B12" s="17" t="str">
        <x:v>菜品品质</x:v>
      </x:c>
      <x:c r="C12" s="17" t="str">
        <x:v>菜谱</x:v>
      </x:c>
      <x:c r="D12" s="17" t="str">
        <x:v>炒菜机操作员</x:v>
      </x:c>
      <x:c r="E12" s="17" t="str">
        <x:v>截图</x:v>
      </x:c>
      <x:c r="F12" s="19" t="str">
        <x:v>小炒黄牛肉机器菜谱</x:v>
      </x:c>
      <x:c r="G12" s="19" t="str">
        <x:v>6种食材、7种调料克重</x:v>
      </x:c>
      <x:c r="H12" s="19" t="str">
        <x:v>F</x:v>
      </x:c>
      <x:c r="I12" s="19" t="str">
        <x:v>已有可用</x:v>
      </x:c>
      <x:c r="J12" s="19" t="str">
        <x:v>P0</x:v>
      </x:c>
      <x:c r="K12" s="19" t="str">
        <x:v>EV-Q-001</x:v>
      </x:c>
      <x:c r="L12" s="19" t="str">
        <x:v>R2.3</x:v>
      </x:c>
      <x:c r="M12" s="19" t="str">
        <x:v>原始截图/img_v3_0213i_bc8f...jpg</x:v>
      </x:c>
      <x:c r="N12" s="19" t="str">
        <x:v>精确BOM与事件对照</x:v>
      </x:c>
    </x:row>
    <x:row r="13">
      <x:c r="A13" s="17" t="str">
        <x:v>SRC-009</x:v>
      </x:c>
      <x:c r="B13" s="17" t="str">
        <x:v>菜品品质</x:v>
      </x:c>
      <x:c r="C13" s="17" t="str">
        <x:v>菜谱</x:v>
      </x:c>
      <x:c r="D13" s="17" t="str">
        <x:v>炒菜机操作员</x:v>
      </x:c>
      <x:c r="E13" s="17" t="str">
        <x:v>截图</x:v>
      </x:c>
      <x:c r="F13" s="19" t="str">
        <x:v>农家一碗香机器菜谱</x:v>
      </x:c>
      <x:c r="G13" s="19" t="str">
        <x:v>6种食材、调料克重；蚝油被遮挡</x:v>
      </x:c>
      <x:c r="H13" s="19" t="str">
        <x:v>F/S</x:v>
      </x:c>
      <x:c r="I13" s="19" t="str">
        <x:v>已有低清参考</x:v>
      </x:c>
      <x:c r="J13" s="19" t="str">
        <x:v>P1</x:v>
      </x:c>
      <x:c r="K13" s="19" t="str"/>
      <x:c r="L13" s="19" t="str"/>
      <x:c r="M13" s="19" t="str">
        <x:v>原始截图/img_v3_0213i_04ec...jpg</x:v>
      </x:c>
      <x:c r="N13" s="19" t="str">
        <x:v>精确BOM，蚝油待核验</x:v>
      </x:c>
    </x:row>
    <x:row r="14">
      <x:c r="A14" s="17" t="str">
        <x:v>DATA-001</x:v>
      </x:c>
      <x:c r="B14" s="17" t="str">
        <x:v>经营首页</x:v>
      </x:c>
      <x:c r="C14" s="17" t="str">
        <x:v>销售</x:v>
      </x:c>
      <x:c r="D14" s="17" t="str">
        <x:v>总部运营</x:v>
      </x:c>
      <x:c r="E14" s="17" t="str">
        <x:v>数据</x:v>
      </x:c>
      <x:c r="F14" s="19" t="str">
        <x:v>8店7天销售明细</x:v>
      </x:c>
      <x:c r="G14" s="19" t="str">
        <x:v>日期×门店×菜品×渠道，共2240行</x:v>
      </x:c>
      <x:c r="H14" s="19" t="str">
        <x:v>S/C</x:v>
      </x:c>
      <x:c r="I14" s="19" t="str">
        <x:v>已有可用</x:v>
      </x:c>
      <x:c r="J14" s="19" t="str">
        <x:v>P0</x:v>
      </x:c>
      <x:c r="K14" s="19" t="str"/>
      <x:c r="L14" s="19" t="str"/>
      <x:c r="M14" s="19" t="str">
        <x:v>02-模拟数据/知味FoodMind_8店7天经营模拟_v0.1.xlsx</x:v>
      </x:c>
      <x:c r="N14" s="19" t="str">
        <x:v>经营基线</x:v>
      </x:c>
    </x:row>
    <x:row r="15">
      <x:c r="A15" s="17" t="str">
        <x:v>DATA-002</x:v>
      </x:c>
      <x:c r="B15" s="17" t="str">
        <x:v>菜品品质</x:v>
      </x:c>
      <x:c r="C15" s="17" t="str">
        <x:v>BOM</x:v>
      </x:c>
      <x:c r="D15" s="17" t="str">
        <x:v>总部品控</x:v>
      </x:c>
      <x:c r="E15" s="17" t="str">
        <x:v>数据</x:v>
      </x:c>
      <x:c r="F15" s="19" t="str">
        <x:v>20道菜菜谱BOM</x:v>
      </x:c>
      <x:c r="G15" s="19" t="str">
        <x:v>156行，3道精确、17道估算</x:v>
      </x:c>
      <x:c r="H15" s="19" t="str">
        <x:v>F/S</x:v>
      </x:c>
      <x:c r="I15" s="19" t="str">
        <x:v>已有可用</x:v>
      </x:c>
      <x:c r="J15" s="19" t="str">
        <x:v>P0</x:v>
      </x:c>
      <x:c r="K15" s="19" t="str">
        <x:v>EV-Q-001</x:v>
      </x:c>
      <x:c r="L15" s="19" t="str"/>
      <x:c r="M15" s="19" t="str">
        <x:v>同上/菜谱BOM</x:v>
      </x:c>
      <x:c r="N15" s="19" t="str">
        <x:v>品质与成本底座</x:v>
      </x:c>
    </x:row>
    <x:row r="16">
      <x:c r="A16" s="17" t="str">
        <x:v>DATA-003</x:v>
      </x:c>
      <x:c r="B16" s="17" t="str">
        <x:v>精准备货</x:v>
      </x:c>
      <x:c r="C16" s="17" t="str">
        <x:v>库存</x:v>
      </x:c>
      <x:c r="D16" s="17" t="str">
        <x:v>店长/收货</x:v>
      </x:c>
      <x:c r="E16" s="17" t="str">
        <x:v>数据</x:v>
      </x:c>
      <x:c r="F16" s="19" t="str">
        <x:v>库存与收货记录</x:v>
      </x:c>
      <x:c r="G16" s="19" t="str">
        <x:v>期初、到货、调拨、质量调整、损耗、期末</x:v>
      </x:c>
      <x:c r="H16" s="19" t="str">
        <x:v>S/C</x:v>
      </x:c>
      <x:c r="I16" s="19" t="str">
        <x:v>已有可用</x:v>
      </x:c>
      <x:c r="J16" s="19" t="str">
        <x:v>P0</x:v>
      </x:c>
      <x:c r="K16" s="19" t="str">
        <x:v>EV-S-001/EV-Q-001</x:v>
      </x:c>
      <x:c r="L16" s="19" t="str">
        <x:v>B0712-03</x:v>
      </x:c>
      <x:c r="M16" s="19" t="str">
        <x:v>同上/库存与收货</x:v>
      </x:c>
      <x:c r="N16" s="19" t="str">
        <x:v>备货与批次追溯</x:v>
      </x:c>
    </x:row>
    <x:row r="17">
      <x:c r="A17" s="17" t="str">
        <x:v>DATA-004</x:v>
      </x:c>
      <x:c r="B17" s="17" t="str">
        <x:v>精准备货</x:v>
      </x:c>
      <x:c r="C17" s="17" t="str">
        <x:v>预测</x:v>
      </x:c>
      <x:c r="D17" s="17" t="str">
        <x:v>总部运营/采购</x:v>
      </x:c>
      <x:c r="E17" s="17" t="str">
        <x:v>数据</x:v>
      </x:c>
      <x:c r="F17" s="19" t="str">
        <x:v>备货预测记录</x:v>
      </x:c>
      <x:c r="G17" s="19" t="str">
        <x:v>原始预测、人工修正、最终值、实际耗用、准确率</x:v>
      </x:c>
      <x:c r="H17" s="19" t="str">
        <x:v>S/C</x:v>
      </x:c>
      <x:c r="I17" s="19" t="str">
        <x:v>已有可用</x:v>
      </x:c>
      <x:c r="J17" s="19" t="str">
        <x:v>P0</x:v>
      </x:c>
      <x:c r="K17" s="19" t="str">
        <x:v>EV-S-001</x:v>
      </x:c>
      <x:c r="L17" s="19" t="str"/>
      <x:c r="M17" s="19" t="str">
        <x:v>同上/备货预测</x:v>
      </x:c>
      <x:c r="N17" s="19" t="str">
        <x:v>精准备货流程</x:v>
      </x:c>
    </x:row>
    <x:row r="18">
      <x:c r="A18" s="17" t="str">
        <x:v>DATA-005</x:v>
      </x:c>
      <x:c r="B18" s="17" t="str">
        <x:v>菜品品质</x:v>
      </x:c>
      <x:c r="C18" s="17" t="str">
        <x:v>炒菜机</x:v>
      </x:c>
      <x:c r="D18" s="17" t="str">
        <x:v>炒菜机操作员</x:v>
      </x:c>
      <x:c r="E18" s="17" t="str">
        <x:v>数据</x:v>
      </x:c>
      <x:c r="F18" s="19" t="str">
        <x:v>炒菜机执行日志</x:v>
      </x:c>
      <x:c r="G18" s="19" t="str">
        <x:v>菜谱版本、人工称重、机器调料、执行状态</x:v>
      </x:c>
      <x:c r="H18" s="19" t="str">
        <x:v>S/C</x:v>
      </x:c>
      <x:c r="I18" s="19" t="str">
        <x:v>已有可用</x:v>
      </x:c>
      <x:c r="J18" s="19" t="str">
        <x:v>P0</x:v>
      </x:c>
      <x:c r="K18" s="19" t="str">
        <x:v>EV-Q-001</x:v>
      </x:c>
      <x:c r="L18" s="19" t="str">
        <x:v>R2.3</x:v>
      </x:c>
      <x:c r="M18" s="19" t="str">
        <x:v>同上/炒菜机执行日志</x:v>
      </x:c>
      <x:c r="N18" s="19" t="str">
        <x:v>排除或定位机器问题</x:v>
      </x:c>
    </x:row>
    <x:row r="19">
      <x:c r="A19" s="17" t="str">
        <x:v>DATA-006</x:v>
      </x:c>
      <x:c r="B19" s="17" t="str">
        <x:v>任务与复盘</x:v>
      </x:c>
      <x:c r="C19" s="17" t="str">
        <x:v>事件</x:v>
      </x:c>
      <x:c r="D19" s="17" t="str">
        <x:v>总部运营</x:v>
      </x:c>
      <x:c r="E19" s="17" t="str">
        <x:v>数据</x:v>
      </x:c>
      <x:c r="F19" s="19" t="str">
        <x:v>经营事件与SOP任务</x:v>
      </x:c>
      <x:c r="G19" s="19" t="str">
        <x:v>6个事件、15条任务、责任人与验收</x:v>
      </x:c>
      <x:c r="H19" s="19" t="str">
        <x:v>S/A</x:v>
      </x:c>
      <x:c r="I19" s="19" t="str">
        <x:v>已有可用</x:v>
      </x:c>
      <x:c r="J19" s="19" t="str">
        <x:v>P0</x:v>
      </x:c>
      <x:c r="K19" s="19" t="str">
        <x:v>全部事件</x:v>
      </x:c>
      <x:c r="L19" s="19" t="str"/>
      <x:c r="M19" s="19" t="str">
        <x:v>同上/经营事件+SOP任务</x:v>
      </x:c>
      <x:c r="N19" s="19" t="str">
        <x:v>异常展开与闭环</x:v>
      </x:c>
    </x:row>
    <x:row r="20">
      <x:c r="A20" s="17" t="str">
        <x:v>DOC-001</x:v>
      </x:c>
      <x:c r="B20" s="17" t="str">
        <x:v>全部场景</x:v>
      </x:c>
      <x:c r="C20" s="17" t="str">
        <x:v>产品架构</x:v>
      </x:c>
      <x:c r="D20" s="17" t="str">
        <x:v>产品</x:v>
      </x:c>
      <x:c r="E20" s="17" t="str">
        <x:v>文档</x:v>
      </x:c>
      <x:c r="F20" s="19" t="str">
        <x:v>产品架构与数据口径</x:v>
      </x:c>
      <x:c r="G20" s="19" t="str">
        <x:v>页面地图、角色、计算链、数据边界</x:v>
      </x:c>
      <x:c r="H20" s="19" t="str">
        <x:v>F/S/C/A</x:v>
      </x:c>
      <x:c r="I20" s="19" t="str">
        <x:v>已有可用</x:v>
      </x:c>
      <x:c r="J20" s="19" t="str">
        <x:v>P0</x:v>
      </x:c>
      <x:c r="K20" s="19" t="str"/>
      <x:c r="L20" s="19" t="str"/>
      <x:c r="M20" s="19" t="str">
        <x:v>01-产品文档/知味新版Demo_产品架构与数据口径_v0.1.md</x:v>
      </x:c>
      <x:c r="N20" s="19" t="str">
        <x:v>页面设计依据</x:v>
      </x:c>
    </x:row>
    <x:row r="21">
      <x:c r="A21" s="17" t="str">
        <x:v>DOC-002</x:v>
      </x:c>
      <x:c r="B21" s="17" t="str">
        <x:v>全部场景</x:v>
      </x:c>
      <x:c r="C21" s="17" t="str">
        <x:v>演示脚本</x:v>
      </x:c>
      <x:c r="D21" s="17" t="str">
        <x:v>产品</x:v>
      </x:c>
      <x:c r="E21" s="17" t="str">
        <x:v>文档</x:v>
      </x:c>
      <x:c r="F21" s="19" t="str">
        <x:v>一周业务事件脚本</x:v>
      </x:c>
      <x:c r="G21" s="19" t="str">
        <x:v>7天事件和跨角色动作</x:v>
      </x:c>
      <x:c r="H21" s="19" t="str">
        <x:v>S/A</x:v>
      </x:c>
      <x:c r="I21" s="19" t="str">
        <x:v>已有可用</x:v>
      </x:c>
      <x:c r="J21" s="19" t="str">
        <x:v>P0</x:v>
      </x:c>
      <x:c r="K21" s="19" t="str">
        <x:v>全部事件</x:v>
      </x:c>
      <x:c r="L21" s="19" t="str"/>
      <x:c r="M21" s="19" t="str">
        <x:v>02-模拟数据/一周业务事件脚本_v0.1.md</x:v>
      </x:c>
      <x:c r="N21" s="19" t="str">
        <x:v>演示讲解</x:v>
      </x:c>
    </x:row>
    <x:row r="22">
      <x:c r="A22" s="17" t="str">
        <x:v>Q-FORM-001</x:v>
      </x:c>
      <x:c r="B22" s="17" t="str">
        <x:v>菜品品质</x:v>
      </x:c>
      <x:c r="C22" s="17" t="str">
        <x:v>收货</x:v>
      </x:c>
      <x:c r="D22" s="17" t="str">
        <x:v>店长/收货</x:v>
      </x:c>
      <x:c r="E22" s="17" t="str">
        <x:v>表单数据</x:v>
      </x:c>
      <x:c r="F22" s="19" t="str">
        <x:v>收货验收模拟记录</x:v>
      </x:c>
      <x:c r="G22" s="19" t="str">
        <x:v>B0712-03数量、温度、包装、颜色、弹性、汁液与结论</x:v>
      </x:c>
      <x:c r="H22" s="19" t="str">
        <x:v>S/A</x:v>
      </x:c>
      <x:c r="I22" s="19" t="str">
        <x:v>本轮模拟补齐</x:v>
      </x:c>
      <x:c r="J22" s="19" t="str">
        <x:v>P0</x:v>
      </x:c>
      <x:c r="K22" s="19" t="str">
        <x:v>EV-Q-001/EV-Q-002</x:v>
      </x:c>
      <x:c r="L22" s="19" t="str">
        <x:v>B0712-03</x:v>
      </x:c>
      <x:c r="M22" s="19" t="str">
        <x:v>本工作簿/品质证据包</x:v>
      </x:c>
      <x:c r="N22" s="19" t="str">
        <x:v>收货节点</x:v>
      </x:c>
    </x:row>
    <x:row r="23">
      <x:c r="A23" s="17" t="str">
        <x:v>Q-FORM-002</x:v>
      </x:c>
      <x:c r="B23" s="17" t="str">
        <x:v>菜品品质</x:v>
      </x:c>
      <x:c r="C23" s="17" t="str">
        <x:v>前处理</x:v>
      </x:c>
      <x:c r="D23" s="17" t="str">
        <x:v>后厨小工</x:v>
      </x:c>
      <x:c r="E23" s="17" t="str">
        <x:v>表单数据</x:v>
      </x:c>
      <x:c r="F23" s="19" t="str">
        <x:v>前处理模拟记录</x:v>
      </x:c>
      <x:c r="G23" s="19" t="str">
        <x:v>切片厚度、回温时间、粉皮批量/水温/时长</x:v>
      </x:c>
      <x:c r="H23" s="19" t="str">
        <x:v>S/A</x:v>
      </x:c>
      <x:c r="I23" s="19" t="str">
        <x:v>本轮模拟补齐</x:v>
      </x:c>
      <x:c r="J23" s="19" t="str">
        <x:v>P0</x:v>
      </x:c>
      <x:c r="K23" s="19" t="str">
        <x:v>EV-Q-001/EV-P-001</x:v>
      </x:c>
      <x:c r="L23" s="19" t="str">
        <x:v>PREP-0712-03</x:v>
      </x:c>
      <x:c r="M23" s="19" t="str">
        <x:v>本工作簿/品质证据包</x:v>
      </x:c>
      <x:c r="N23" s="19" t="str">
        <x:v>前处理节点</x:v>
      </x:c>
    </x:row>
    <x:row r="24">
      <x:c r="A24" s="17" t="str">
        <x:v>Q-MACH-001</x:v>
      </x:c>
      <x:c r="B24" s="17" t="str">
        <x:v>菜品品质</x:v>
      </x:c>
      <x:c r="C24" s="17" t="str">
        <x:v>炒菜机</x:v>
      </x:c>
      <x:c r="D24" s="17" t="str">
        <x:v>炒菜机操作员</x:v>
      </x:c>
      <x:c r="E24" s="17" t="str">
        <x:v>日志数据</x:v>
      </x:c>
      <x:c r="F24" s="19" t="str">
        <x:v>黄牛肉复核执行记录</x:v>
      </x:c>
      <x:c r="G24" s="19" t="str">
        <x:v>版本R2.3、食材562g、调料133.2g、181秒</x:v>
      </x:c>
      <x:c r="H24" s="19" t="str">
        <x:v>S/C</x:v>
      </x:c>
      <x:c r="I24" s="19" t="str">
        <x:v>本轮模拟补齐</x:v>
      </x:c>
      <x:c r="J24" s="19" t="str">
        <x:v>P0</x:v>
      </x:c>
      <x:c r="K24" s="19" t="str">
        <x:v>EV-Q-001</x:v>
      </x:c>
      <x:c r="L24" s="19" t="str">
        <x:v>MCH-S01-0712-1120</x:v>
      </x:c>
      <x:c r="M24" s="19" t="str">
        <x:v>本工作簿/品质证据包</x:v>
      </x:c>
      <x:c r="N24" s="19" t="str">
        <x:v>机器节点</x:v>
      </x:c>
    </x:row>
    <x:row r="25">
      <x:c r="A25" s="17" t="str">
        <x:v>Q-SERVE-001</x:v>
      </x:c>
      <x:c r="B25" s="17" t="str">
        <x:v>菜品品质</x:v>
      </x:c>
      <x:c r="C25" s="17" t="str">
        <x:v>出餐</x:v>
      </x:c>
      <x:c r="D25" s="17" t="str">
        <x:v>服务员</x:v>
      </x:c>
      <x:c r="E25" s="17" t="str">
        <x:v>表单数据</x:v>
      </x:c>
      <x:c r="F25" s="19" t="str">
        <x:v>出餐与反馈记录</x:v>
      </x:c>
      <x:c r="G25" s="19" t="str">
        <x:v>等待6分40秒、嫩度反馈、同批次关联</x:v>
      </x:c>
      <x:c r="H25" s="19" t="str">
        <x:v>S</x:v>
      </x:c>
      <x:c r="I25" s="19" t="str">
        <x:v>本轮模拟补齐</x:v>
      </x:c>
      <x:c r="J25" s="19" t="str">
        <x:v>P0</x:v>
      </x:c>
      <x:c r="K25" s="19" t="str">
        <x:v>EV-Q-001</x:v>
      </x:c>
      <x:c r="L25" s="19" t="str">
        <x:v>ORD-S01-0712-0421</x:v>
      </x:c>
      <x:c r="M25" s="19" t="str">
        <x:v>本工作簿/品质证据包</x:v>
      </x:c>
      <x:c r="N25" s="19" t="str">
        <x:v>出餐节点</x:v>
      </x:c>
    </x:row>
    <x:row r="26">
      <x:c r="A26" s="17" t="str">
        <x:v>Q-DOC-002</x:v>
      </x:c>
      <x:c r="B26" s="17" t="str">
        <x:v>菜品品质</x:v>
      </x:c>
      <x:c r="C26" s="17" t="str">
        <x:v>追溯</x:v>
      </x:c>
      <x:c r="D26" s="17" t="str">
        <x:v>总部品控</x:v>
      </x:c>
      <x:c r="E26" s="17" t="str">
        <x:v>规则</x:v>
      </x:c>
      <x:c r="F26" s="19" t="str">
        <x:v>批次关联判断规则</x:v>
      </x:c>
      <x:c r="G26" s="19" t="str">
        <x:v>同店同菜同主题≥2次触发，订单与领料记录人工核对</x:v>
      </x:c>
      <x:c r="H26" s="19" t="str">
        <x:v>C/A</x:v>
      </x:c>
      <x:c r="I26" s="19" t="str">
        <x:v>本轮模拟补齐</x:v>
      </x:c>
      <x:c r="J26" s="19" t="str">
        <x:v>P0</x:v>
      </x:c>
      <x:c r="K26" s="19" t="str">
        <x:v>EV-Q-001</x:v>
      </x:c>
      <x:c r="L26" s="19" t="str">
        <x:v>B0712-03</x:v>
      </x:c>
      <x:c r="M26" s="19" t="str">
        <x:v>本工作簿/品质证据包</x:v>
      </x:c>
      <x:c r="N26" s="19" t="str">
        <x:v>事件触发与AI判断</x:v>
      </x:c>
    </x:row>
    <x:row r="27">
      <x:c r="A27" s="17" t="str">
        <x:v>Q-DOC-004</x:v>
      </x:c>
      <x:c r="B27" s="17" t="str">
        <x:v>菜品品质</x:v>
      </x:c>
      <x:c r="C27" s="17" t="str">
        <x:v>处置</x:v>
      </x:c>
      <x:c r="D27" s="17" t="str">
        <x:v>采购</x:v>
      </x:c>
      <x:c r="E27" s="17" t="str">
        <x:v>单据数据</x:v>
      </x:c>
      <x:c r="F27" s="19" t="str">
        <x:v>退换与调拨记录</x:v>
      </x:c>
      <x:c r="G27" s="19" t="str">
        <x:v>退回12kg、跨店调拨3kg、批次去向</x:v>
      </x:c>
      <x:c r="H27" s="19" t="str">
        <x:v>S</x:v>
      </x:c>
      <x:c r="I27" s="19" t="str">
        <x:v>本轮模拟补齐</x:v>
      </x:c>
      <x:c r="J27" s="19" t="str">
        <x:v>P0</x:v>
      </x:c>
      <x:c r="K27" s="19" t="str">
        <x:v>EV-Q-001</x:v>
      </x:c>
      <x:c r="L27" s="19" t="str">
        <x:v>B0712-03</x:v>
      </x:c>
      <x:c r="M27" s="19" t="str">
        <x:v>本工作簿/品质证据包</x:v>
      </x:c>
      <x:c r="N27" s="19" t="str">
        <x:v>处置闭环</x:v>
      </x:c>
    </x:row>
    <x:row r="28">
      <x:c r="A28" s="17" t="str">
        <x:v>S-DATA-001</x:v>
      </x:c>
      <x:c r="B28" s="17" t="str">
        <x:v>精准备货</x:v>
      </x:c>
      <x:c r="C28" s="17" t="str">
        <x:v>预测审批</x:v>
      </x:c>
      <x:c r="D28" s="17" t="str">
        <x:v>采购</x:v>
      </x:c>
      <x:c r="E28" s="17" t="str">
        <x:v>数据</x:v>
      </x:c>
      <x:c r="F28" s="19" t="str">
        <x:v>青椒8店预测分配</x:v>
      </x:c>
      <x:c r="G28" s="19" t="str">
        <x:v>人工50kg、最终42kg、实际43kg</x:v>
      </x:c>
      <x:c r="H28" s="19" t="str">
        <x:v>S/C</x:v>
      </x:c>
      <x:c r="I28" s="19" t="str">
        <x:v>本轮模拟补齐</x:v>
      </x:c>
      <x:c r="J28" s="19" t="str">
        <x:v>P0</x:v>
      </x:c>
      <x:c r="K28" s="19" t="str">
        <x:v>EV-S-001</x:v>
      </x:c>
      <x:c r="L28" s="19" t="str">
        <x:v>FC-0711-QJ</x:v>
      </x:c>
      <x:c r="M28" s="19" t="str">
        <x:v>本工作簿/备货证据包</x:v>
      </x:c>
      <x:c r="N28" s="19" t="str">
        <x:v>预测审批与复盘</x:v>
      </x:c>
    </x:row>
    <x:row r="29">
      <x:c r="A29" s="17" t="str">
        <x:v>M-DATA-001</x:v>
      </x:c>
      <x:c r="B29" s="17" t="str">
        <x:v>真实毛利</x:v>
      </x:c>
      <x:c r="C29" s="17" t="str">
        <x:v>单菜测算</x:v>
      </x:c>
      <x:c r="D29" s="17" t="str">
        <x:v>总部运营</x:v>
      </x:c>
      <x:c r="E29" s="17" t="str">
        <x:v>数据</x:v>
      </x:c>
      <x:c r="F29" s="19" t="str">
        <x:v>三道菜渠道贡献对比</x:v>
      </x:c>
      <x:c r="G29" s="19" t="str">
        <x:v>辣椒炒肉、黄牛肉、麻婆豆腐堂食/外卖贡献</x:v>
      </x:c>
      <x:c r="H29" s="19" t="str">
        <x:v>S/C</x:v>
      </x:c>
      <x:c r="I29" s="19" t="str">
        <x:v>本轮模拟补齐</x:v>
      </x:c>
      <x:c r="J29" s="19" t="str">
        <x:v>P1</x:v>
      </x:c>
      <x:c r="K29" s="19" t="str">
        <x:v>EV-M-001</x:v>
      </x:c>
      <x:c r="L29" s="19" t="str"/>
      <x:c r="M29" s="19" t="str">
        <x:v>本工作簿/成本体验外卖</x:v>
      </x:c>
      <x:c r="N29" s="19" t="str">
        <x:v>真实毛利与外卖场景</x:v>
      </x:c>
    </x:row>
    <x:row r="30">
      <x:c r="A30" s="17" t="str">
        <x:v>C-DATA-001</x:v>
      </x:c>
      <x:c r="B30" s="17" t="str">
        <x:v>顾客体验</x:v>
      </x:c>
      <x:c r="C30" s="17" t="str">
        <x:v>主题与事件</x:v>
      </x:c>
      <x:c r="D30" s="17" t="str">
        <x:v>总部运营</x:v>
      </x:c>
      <x:c r="E30" s="17" t="str">
        <x:v>数据</x:v>
      </x:c>
      <x:c r="F30" s="19" t="str">
        <x:v>体验主题与品质事件关联</x:v>
      </x:c>
      <x:c r="G30" s="19" t="str">
        <x:v>辣度、嫩度、出餐等待，分别关联整改动作</x:v>
      </x:c>
      <x:c r="H30" s="19" t="str">
        <x:v>S/A</x:v>
      </x:c>
      <x:c r="I30" s="19" t="str">
        <x:v>本轮模拟补齐</x:v>
      </x:c>
      <x:c r="J30" s="19" t="str">
        <x:v>P1</x:v>
      </x:c>
      <x:c r="K30" s="19" t="str">
        <x:v>EV-C-001/EV-Q-001/EV-P-001</x:v>
      </x:c>
      <x:c r="L30" s="19" t="str"/>
      <x:c r="M30" s="19" t="str">
        <x:v>本工作簿/成本体验外卖</x:v>
      </x:c>
      <x:c r="N30" s="19" t="str">
        <x:v>顾客体验场景</x:v>
      </x:c>
    </x:row>
    <x:row r="31">
      <x:c r="A31" s="17" t="str">
        <x:v>GAP-001</x:v>
      </x:c>
      <x:c r="B31" s="17" t="str">
        <x:v>菜品品质</x:v>
      </x:c>
      <x:c r="C31" s="17" t="str">
        <x:v>炒菜机</x:v>
      </x:c>
      <x:c r="D31" s="17" t="str">
        <x:v>客户/设备方</x:v>
      </x:c>
      <x:c r="E31" s="17" t="str">
        <x:v>接口文档</x:v>
      </x:c>
      <x:c r="F31" s="19" t="str">
        <x:v>炒菜机真实执行日志字段与导出样例</x:v>
      </x:c>
      <x:c r="G31" s="19" t="str">
        <x:v>机器ID、菜谱版本、目标/实际克重、时间、报警、操作员</x:v>
      </x:c>
      <x:c r="H31" s="19" t="str">
        <x:v>F</x:v>
      </x:c>
      <x:c r="I31" s="19" t="str">
        <x:v>待客户提供</x:v>
      </x:c>
      <x:c r="J31" s="19" t="str">
        <x:v>P0</x:v>
      </x:c>
      <x:c r="K31" s="19" t="str">
        <x:v>EV-Q-001</x:v>
      </x:c>
      <x:c r="L31" s="19" t="str"/>
      <x:c r="M31" s="19" t="str">
        <x:v>待客户提供</x:v>
      </x:c>
      <x:c r="N31" s="19" t="str">
        <x:v>决定机器节点真实性</x:v>
      </x:c>
    </x:row>
    <x:row r="32">
      <x:c r="A32" s="17" t="str">
        <x:v>GAP-002</x:v>
      </x:c>
      <x:c r="B32" s="17" t="str">
        <x:v>菜品品质</x:v>
      </x:c>
      <x:c r="C32" s="17" t="str">
        <x:v>菜谱</x:v>
      </x:c>
      <x:c r="D32" s="17" t="str">
        <x:v>客户/设备方</x:v>
      </x:c>
      <x:c r="E32" s="17" t="str">
        <x:v>数据</x:v>
      </x:c>
      <x:c r="F32" s="19" t="str">
        <x:v>其余17道真实机器菜谱</x:v>
      </x:c>
      <x:c r="G32" s="19" t="str">
        <x:v>完整食材、调料、步骤与版本</x:v>
      </x:c>
      <x:c r="H32" s="19" t="str">
        <x:v>F</x:v>
      </x:c>
      <x:c r="I32" s="19" t="str">
        <x:v>待客户提供</x:v>
      </x:c>
      <x:c r="J32" s="19" t="str">
        <x:v>P0</x:v>
      </x:c>
      <x:c r="K32" s="19" t="str"/>
      <x:c r="L32" s="19" t="str"/>
      <x:c r="M32" s="19" t="str">
        <x:v>待客户提供</x:v>
      </x:c>
      <x:c r="N32" s="19" t="str">
        <x:v>替换估算BOM</x:v>
      </x:c>
    </x:row>
    <x:row r="33">
      <x:c r="A33" s="17" t="str">
        <x:v>GAP-003</x:v>
      </x:c>
      <x:c r="B33" s="17" t="str">
        <x:v>精准备货</x:v>
      </x:c>
      <x:c r="C33" s="17" t="str">
        <x:v>销售</x:v>
      </x:c>
      <x:c r="D33" s="17" t="str">
        <x:v>总部运营</x:v>
      </x:c>
      <x:c r="E33" s="17" t="str">
        <x:v>数据</x:v>
      </x:c>
      <x:c r="F33" s="19" t="str">
        <x:v>近30天真实POS销量</x:v>
      </x:c>
      <x:c r="G33" s="19" t="str">
        <x:v>门店、菜品、日期、时段、渠道、退款赠送</x:v>
      </x:c>
      <x:c r="H33" s="19" t="str">
        <x:v>F</x:v>
      </x:c>
      <x:c r="I33" s="19" t="str">
        <x:v>待客户提供</x:v>
      </x:c>
      <x:c r="J33" s="19" t="str">
        <x:v>P0</x:v>
      </x:c>
      <x:c r="K33" s="19" t="str"/>
      <x:c r="L33" s="19" t="str"/>
      <x:c r="M33" s="19" t="str">
        <x:v>待客户提供</x:v>
      </x:c>
      <x:c r="N33" s="19" t="str">
        <x:v>训练真实预测</x:v>
      </x:c>
    </x:row>
    <x:row r="34">
      <x:c r="A34" s="17" t="str">
        <x:v>GAP-004</x:v>
      </x:c>
      <x:c r="B34" s="17" t="str">
        <x:v>精准备货</x:v>
      </x:c>
      <x:c r="C34" s="17" t="str">
        <x:v>库存</x:v>
      </x:c>
      <x:c r="D34" s="17" t="str">
        <x:v>店长/仓库</x:v>
      </x:c>
      <x:c r="E34" s="17" t="str">
        <x:v>数据</x:v>
      </x:c>
      <x:c r="F34" s="19" t="str">
        <x:v>真实盘点与报损样例</x:v>
      </x:c>
      <x:c r="G34" s="19" t="str">
        <x:v>单位、实盘、差异、报损量和原因</x:v>
      </x:c>
      <x:c r="H34" s="19" t="str">
        <x:v>F</x:v>
      </x:c>
      <x:c r="I34" s="19" t="str">
        <x:v>待客户提供</x:v>
      </x:c>
      <x:c r="J34" s="19" t="str">
        <x:v>P0</x:v>
      </x:c>
      <x:c r="K34" s="19" t="str"/>
      <x:c r="L34" s="19" t="str"/>
      <x:c r="M34" s="19" t="str">
        <x:v>待客户提供</x:v>
      </x:c>
      <x:c r="N34" s="19" t="str">
        <x:v>闭合实际耗用</x:v>
      </x:c>
    </x:row>
    <x:row r="35">
      <x:c r="A35" s="17" t="str">
        <x:v>GAP-005</x:v>
      </x:c>
      <x:c r="B35" s="17" t="str">
        <x:v>菜品品质</x:v>
      </x:c>
      <x:c r="C35" s="17" t="str">
        <x:v>收货</x:v>
      </x:c>
      <x:c r="D35" s="17" t="str">
        <x:v>采购/门店</x:v>
      </x:c>
      <x:c r="E35" s="17" t="str">
        <x:v>文档</x:v>
      </x:c>
      <x:c r="F35" s="19" t="str">
        <x:v>真实采购单与收货单样例</x:v>
      </x:c>
      <x:c r="G35" s="19" t="str">
        <x:v>供应商、规格、批次、数量、单价、日期</x:v>
      </x:c>
      <x:c r="H35" s="19" t="str">
        <x:v>F</x:v>
      </x:c>
      <x:c r="I35" s="19" t="str">
        <x:v>待客户提供</x:v>
      </x:c>
      <x:c r="J35" s="19" t="str">
        <x:v>P0</x:v>
      </x:c>
      <x:c r="K35" s="19" t="str">
        <x:v>EV-Q-001</x:v>
      </x:c>
      <x:c r="L35" s="19" t="str"/>
      <x:c r="M35" s="19" t="str">
        <x:v>待客户脱敏提供</x:v>
      </x:c>
      <x:c r="N35" s="19" t="str">
        <x:v>批次追溯</x:v>
      </x:c>
    </x:row>
    <x:row r="36">
      <x:c r="A36" s="17" t="str">
        <x:v>GAP-006</x:v>
      </x:c>
      <x:c r="B36" s="17" t="str">
        <x:v>真实毛利</x:v>
      </x:c>
      <x:c r="C36" s="17" t="str">
        <x:v>采购价</x:v>
      </x:c>
      <x:c r="D36" s="17" t="str">
        <x:v>采购</x:v>
      </x:c>
      <x:c r="E36" s="17" t="str">
        <x:v>数据</x:v>
      </x:c>
      <x:c r="F36" s="19" t="str">
        <x:v>真实食材采购价表</x:v>
      </x:c>
      <x:c r="G36" s="19" t="str">
        <x:v>供应商、规格、单位、含税价、有效期</x:v>
      </x:c>
      <x:c r="H36" s="19" t="str">
        <x:v>F</x:v>
      </x:c>
      <x:c r="I36" s="19" t="str">
        <x:v>待客户提供</x:v>
      </x:c>
      <x:c r="J36" s="19" t="str">
        <x:v>P0</x:v>
      </x:c>
      <x:c r="K36" s="19" t="str"/>
      <x:c r="L36" s="19" t="str"/>
      <x:c r="M36" s="19" t="str">
        <x:v>待客户提供</x:v>
      </x:c>
      <x:c r="N36" s="19" t="str">
        <x:v>替换模拟成本</x:v>
      </x:c>
    </x:row>
    <x:row r="37">
      <x:c r="A37" s="17" t="str">
        <x:v>GAP-007</x:v>
      </x:c>
      <x:c r="B37" s="17" t="str">
        <x:v>真实毛利</x:v>
      </x:c>
      <x:c r="C37" s="17" t="str">
        <x:v>固定成本</x:v>
      </x:c>
      <x:c r="D37" s="17" t="str">
        <x:v>财务/老板</x:v>
      </x:c>
      <x:c r="E37" s="17" t="str">
        <x:v>数据</x:v>
      </x:c>
      <x:c r="F37" s="19" t="str">
        <x:v>门店人工房租水电折旧</x:v>
      </x:c>
      <x:c r="G37" s="19" t="str">
        <x:v>门店、月份、费用科目和金额</x:v>
      </x:c>
      <x:c r="H37" s="19" t="str">
        <x:v>F</x:v>
      </x:c>
      <x:c r="I37" s="19" t="str">
        <x:v>待客户提供</x:v>
      </x:c>
      <x:c r="J37" s="19" t="str">
        <x:v>P1</x:v>
      </x:c>
      <x:c r="K37" s="19" t="str"/>
      <x:c r="L37" s="19" t="str"/>
      <x:c r="M37" s="19" t="str">
        <x:v>待客户提供</x:v>
      </x:c>
      <x:c r="N37" s="19" t="str">
        <x:v>从贡献毛利扩展到门店利润</x:v>
      </x:c>
    </x:row>
    <x:row r="38">
      <x:c r="A38" s="17" t="str">
        <x:v>GAP-008</x:v>
      </x:c>
      <x:c r="B38" s="17" t="str">
        <x:v>外卖经营</x:v>
      </x:c>
      <x:c r="C38" s="17" t="str">
        <x:v>渠道费用</x:v>
      </x:c>
      <x:c r="D38" s="17" t="str">
        <x:v>总部运营</x:v>
      </x:c>
      <x:c r="E38" s="17" t="str">
        <x:v>数据</x:v>
      </x:c>
      <x:c r="F38" s="19" t="str">
        <x:v>外卖平台结算样例</x:v>
      </x:c>
      <x:c r="G38" s="19" t="str">
        <x:v>原价、折扣、佣金、配送、包装和退款</x:v>
      </x:c>
      <x:c r="H38" s="19" t="str">
        <x:v>F</x:v>
      </x:c>
      <x:c r="I38" s="19" t="str">
        <x:v>待客户提供</x:v>
      </x:c>
      <x:c r="J38" s="19" t="str">
        <x:v>P0</x:v>
      </x:c>
      <x:c r="K38" s="19" t="str">
        <x:v>EV-M-001</x:v>
      </x:c>
      <x:c r="L38" s="19" t="str"/>
      <x:c r="M38" s="19" t="str">
        <x:v>待客户脱敏提供</x:v>
      </x:c>
      <x:c r="N38" s="19" t="str">
        <x:v>真实单笔贡献</x:v>
      </x:c>
    </x:row>
    <x:row r="39">
      <x:c r="A39" s="17" t="str">
        <x:v>GAP-009</x:v>
      </x:c>
      <x:c r="B39" s="17" t="str">
        <x:v>全部场景</x:v>
      </x:c>
      <x:c r="C39" s="17" t="str">
        <x:v>组织</x:v>
      </x:c>
      <x:c r="D39" s="17" t="str">
        <x:v>人事/运营</x:v>
      </x:c>
      <x:c r="E39" s="17" t="str">
        <x:v>文档</x:v>
      </x:c>
      <x:c r="F39" s="19" t="str">
        <x:v>真实角色与职责边界</x:v>
      </x:c>
      <x:c r="G39" s="19" t="str">
        <x:v>谁收货、谁验收、谁有采购和停用权限</x:v>
      </x:c>
      <x:c r="H39" s="19" t="str">
        <x:v>F</x:v>
      </x:c>
      <x:c r="I39" s="19" t="str">
        <x:v>待客户提供</x:v>
      </x:c>
      <x:c r="J39" s="19" t="str">
        <x:v>P1</x:v>
      </x:c>
      <x:c r="K39" s="19" t="str"/>
      <x:c r="L39" s="19" t="str"/>
      <x:c r="M39" s="19" t="str">
        <x:v>待客户确认</x:v>
      </x:c>
      <x:c r="N39" s="19" t="str">
        <x:v>权限与任务流</x:v>
      </x:c>
    </x:row>
    <x:row r="40">
      <x:c r="A40" s="17" t="str">
        <x:v>Q-IMG-001</x:v>
      </x:c>
      <x:c r="B40" s="17" t="str">
        <x:v>菜品品质</x:v>
      </x:c>
      <x:c r="C40" s="17" t="str">
        <x:v>收货</x:v>
      </x:c>
      <x:c r="D40" s="17" t="str">
        <x:v>店长/收货</x:v>
      </x:c>
      <x:c r="E40" s="17" t="str">
        <x:v>图片</x:v>
      </x:c>
      <x:c r="F40" s="19" t="str">
        <x:v>整筐螺丝椒到货全景</x:v>
      </x:c>
      <x:c r="G40" s="19" t="str">
        <x:v>整筐、到货标签、手持批次卡</x:v>
      </x:c>
      <x:c r="H40" s="19" t="str">
        <x:v>S/F</x:v>
      </x:c>
      <x:c r="I40" s="19" t="str">
        <x:v>待拍摄/生成</x:v>
      </x:c>
      <x:c r="J40" s="19" t="str">
        <x:v>P0</x:v>
      </x:c>
      <x:c r="K40" s="19" t="str"/>
      <x:c r="L40" s="19" t="str">
        <x:v>标准</x:v>
      </x:c>
      <x:c r="M40" s="19" t="str">
        <x:v>05-场景素材库/01-菜品品质/01-收货/Q-IMG-001_螺丝椒到货全景.jpg</x:v>
      </x:c>
      <x:c r="N40" s="19" t="str">
        <x:v>收货证据卡</x:v>
      </x:c>
    </x:row>
    <x:row r="41">
      <x:c r="A41" s="17" t="str">
        <x:v>Q-IMG-002</x:v>
      </x:c>
      <x:c r="B41" s="17" t="str">
        <x:v>菜品品质</x:v>
      </x:c>
      <x:c r="C41" s="17" t="str">
        <x:v>收货</x:v>
      </x:c>
      <x:c r="D41" s="17" t="str">
        <x:v>店长/收货</x:v>
      </x:c>
      <x:c r="E41" s="17" t="str">
        <x:v>图片</x:v>
      </x:c>
      <x:c r="F41" s="19" t="str">
        <x:v>螺丝椒表皮与切面特写</x:v>
      </x:c>
      <x:c r="G41" s="19" t="str">
        <x:v>色泽、表皮、蒂部、切面水分</x:v>
      </x:c>
      <x:c r="H41" s="19" t="str">
        <x:v>S/F</x:v>
      </x:c>
      <x:c r="I41" s="19" t="str">
        <x:v>待拍摄/生成</x:v>
      </x:c>
      <x:c r="J41" s="19" t="str">
        <x:v>P0</x:v>
      </x:c>
      <x:c r="K41" s="19" t="str"/>
      <x:c r="L41" s="19" t="str">
        <x:v>标准</x:v>
      </x:c>
      <x:c r="M41" s="19" t="str">
        <x:v>05-场景素材库/01-菜品品质/01-收货/Q-IMG-002_螺丝椒标准特写.jpg</x:v>
      </x:c>
      <x:c r="N41" s="19" t="str">
        <x:v>感官检查</x:v>
      </x:c>
    </x:row>
    <x:row r="42">
      <x:c r="A42" s="17" t="str">
        <x:v>Q-IMG-003</x:v>
      </x:c>
      <x:c r="B42" s="17" t="str">
        <x:v>菜品品质</x:v>
      </x:c>
      <x:c r="C42" s="17" t="str">
        <x:v>收货</x:v>
      </x:c>
      <x:c r="D42" s="17" t="str">
        <x:v>店长/收货</x:v>
      </x:c>
      <x:c r="E42" s="17" t="str">
        <x:v>图片</x:v>
      </x:c>
      <x:c r="F42" s="19" t="str">
        <x:v>失水皱缩或碰伤辣椒特写</x:v>
      </x:c>
      <x:c r="G42" s="19" t="str">
        <x:v>皱缩、软点或碰伤位置</x:v>
      </x:c>
      <x:c r="H42" s="19" t="str">
        <x:v>S/F</x:v>
      </x:c>
      <x:c r="I42" s="19" t="str">
        <x:v>待拍摄/生成</x:v>
      </x:c>
      <x:c r="J42" s="19" t="str">
        <x:v>P1</x:v>
      </x:c>
      <x:c r="K42" s="19" t="str"/>
      <x:c r="L42" s="19" t="str">
        <x:v>异常</x:v>
      </x:c>
      <x:c r="M42" s="19" t="str">
        <x:v>05-场景素材库/01-菜品品质/01-收货/Q-IMG-003_螺丝椒异常特写.jpg</x:v>
      </x:c>
      <x:c r="N42" s="19" t="str">
        <x:v>异常对比</x:v>
      </x:c>
    </x:row>
    <x:row r="43">
      <x:c r="A43" s="17" t="str">
        <x:v>Q-IMG-004</x:v>
      </x:c>
      <x:c r="B43" s="17" t="str">
        <x:v>菜品品质</x:v>
      </x:c>
      <x:c r="C43" s="17" t="str">
        <x:v>收货</x:v>
      </x:c>
      <x:c r="D43" s="17" t="str">
        <x:v>店长/收货</x:v>
      </x:c>
      <x:c r="E43" s="17" t="str">
        <x:v>图片</x:v>
      </x:c>
      <x:c r="F43" s="19" t="str">
        <x:v>牛肉包装与批次标签B0712-03</x:v>
      </x:c>
      <x:c r="G43" s="19" t="str">
        <x:v>供应商、品名、批次、日期、净重；供应商名可模拟</x:v>
      </x:c>
      <x:c r="H43" s="19" t="str">
        <x:v>S/F</x:v>
      </x:c>
      <x:c r="I43" s="19" t="str">
        <x:v>待拍摄/生成</x:v>
      </x:c>
      <x:c r="J43" s="19" t="str">
        <x:v>P0</x:v>
      </x:c>
      <x:c r="K43" s="19" t="str">
        <x:v>EV-Q-001</x:v>
      </x:c>
      <x:c r="L43" s="19" t="str">
        <x:v>异常事件</x:v>
      </x:c>
      <x:c r="M43" s="19" t="str">
        <x:v>05-场景素材库/01-菜品品质/01-收货/Q-IMG-004_牛肉批次标签.jpg</x:v>
      </x:c>
      <x:c r="N43" s="19" t="str">
        <x:v>批次追溯</x:v>
      </x:c>
    </x:row>
    <x:row r="44">
      <x:c r="A44" s="17" t="str">
        <x:v>Q-IMG-005</x:v>
      </x:c>
      <x:c r="B44" s="17" t="str">
        <x:v>菜品品质</x:v>
      </x:c>
      <x:c r="C44" s="17" t="str">
        <x:v>收货</x:v>
      </x:c>
      <x:c r="D44" s="17" t="str">
        <x:v>店长/收货</x:v>
      </x:c>
      <x:c r="E44" s="17" t="str">
        <x:v>图片</x:v>
      </x:c>
      <x:c r="F44" s="19" t="str">
        <x:v>牛肉开包颜色与汁液</x:v>
      </x:c>
      <x:c r="G44" s="19" t="str">
        <x:v>偏暗红肉色、包装底部汁液</x:v>
      </x:c>
      <x:c r="H44" s="19" t="str">
        <x:v>S/F</x:v>
      </x:c>
      <x:c r="I44" s="19" t="str">
        <x:v>待拍摄/生成</x:v>
      </x:c>
      <x:c r="J44" s="19" t="str">
        <x:v>P0</x:v>
      </x:c>
      <x:c r="K44" s="19" t="str"/>
      <x:c r="L44" s="19" t="str">
        <x:v>异常</x:v>
      </x:c>
      <x:c r="M44" s="19" t="str">
        <x:v>05-场景素材库/01-菜品品质/01-收货/Q-IMG-005_牛肉颜色汁液异常.jpg</x:v>
      </x:c>
      <x:c r="N44" s="19" t="str">
        <x:v>异常证据</x:v>
      </x:c>
    </x:row>
    <x:row r="45">
      <x:c r="A45" s="17" t="str">
        <x:v>Q-IMG-006</x:v>
      </x:c>
      <x:c r="B45" s="17" t="str">
        <x:v>菜品品质</x:v>
      </x:c>
      <x:c r="C45" s="17" t="str">
        <x:v>前处理</x:v>
      </x:c>
      <x:c r="D45" s="17" t="str">
        <x:v>后厨小工</x:v>
      </x:c>
      <x:c r="E45" s="17" t="str">
        <x:v>图片</x:v>
      </x:c>
      <x:c r="F45" s="19" t="str">
        <x:v>牛肉切片厚度测量</x:v>
      </x:c>
      <x:c r="G45" s="19" t="str">
        <x:v>2.7mm厚度、卡尺或食品尺、批次卡</x:v>
      </x:c>
      <x:c r="H45" s="19" t="str">
        <x:v>S/F</x:v>
      </x:c>
      <x:c r="I45" s="19" t="str">
        <x:v>待拍摄/生成</x:v>
      </x:c>
      <x:c r="J45" s="19" t="str">
        <x:v>P0</x:v>
      </x:c>
      <x:c r="K45" s="19" t="str">
        <x:v>EV-Q-001</x:v>
      </x:c>
      <x:c r="L45" s="19" t="str">
        <x:v>异常事件</x:v>
      </x:c>
      <x:c r="M45" s="19" t="str">
        <x:v>05-场景素材库/01-菜品品质/02-前处理/Q-IMG-006_牛肉切片厚度.jpg</x:v>
      </x:c>
      <x:c r="N45" s="19" t="str">
        <x:v>前处理证据</x:v>
      </x:c>
    </x:row>
    <x:row r="46">
      <x:c r="A46" s="17" t="str">
        <x:v>Q-IMG-007</x:v>
      </x:c>
      <x:c r="B46" s="17" t="str">
        <x:v>菜品品质</x:v>
      </x:c>
      <x:c r="C46" s="17" t="str">
        <x:v>收货</x:v>
      </x:c>
      <x:c r="D46" s="17" t="str">
        <x:v>店长/收货</x:v>
      </x:c>
      <x:c r="E46" s="17" t="str">
        <x:v>图片</x:v>
      </x:c>
      <x:c r="F46" s="19" t="str">
        <x:v>牛肉按压回弹检查</x:v>
      </x:c>
      <x:c r="G46" s="19" t="str">
        <x:v>戴手套手指按压、回弹状态、批次卡</x:v>
      </x:c>
      <x:c r="H46" s="19" t="str">
        <x:v>S/F</x:v>
      </x:c>
      <x:c r="I46" s="19" t="str">
        <x:v>待拍摄/生成</x:v>
      </x:c>
      <x:c r="J46" s="19" t="str">
        <x:v>P1</x:v>
      </x:c>
      <x:c r="K46" s="19" t="str">
        <x:v>EV-Q-001</x:v>
      </x:c>
      <x:c r="L46" s="19" t="str">
        <x:v>异常事件</x:v>
      </x:c>
      <x:c r="M46" s="19" t="str">
        <x:v>05-场景素材库/01-菜品品质/01-收货/Q-IMG-007_牛肉弹性检查.jpg</x:v>
      </x:c>
      <x:c r="N46" s="19" t="str">
        <x:v>感官评分</x:v>
      </x:c>
    </x:row>
    <x:row r="47">
      <x:c r="A47" s="17" t="str">
        <x:v>Q-IMG-008</x:v>
      </x:c>
      <x:c r="B47" s="17" t="str">
        <x:v>菜品品质</x:v>
      </x:c>
      <x:c r="C47" s="17" t="str">
        <x:v>收货</x:v>
      </x:c>
      <x:c r="D47" s="17" t="str">
        <x:v>店长/收货</x:v>
      </x:c>
      <x:c r="E47" s="17" t="str">
        <x:v>图片</x:v>
      </x:c>
      <x:c r="F47" s="19" t="str">
        <x:v>温度枪检测牛肉中心温度</x:v>
      </x:c>
      <x:c r="G47" s="19" t="str">
        <x:v>温度显示4.8°C、牛肉包装、批次卡</x:v>
      </x:c>
      <x:c r="H47" s="19" t="str">
        <x:v>S/F</x:v>
      </x:c>
      <x:c r="I47" s="19" t="str">
        <x:v>待拍摄/生成</x:v>
      </x:c>
      <x:c r="J47" s="19" t="str">
        <x:v>P0</x:v>
      </x:c>
      <x:c r="K47" s="19" t="str">
        <x:v>EV-Q-001</x:v>
      </x:c>
      <x:c r="L47" s="19" t="str">
        <x:v>异常事件</x:v>
      </x:c>
      <x:c r="M47" s="19" t="str">
        <x:v>05-场景素材库/01-菜品品质/01-收货/Q-IMG-008_牛肉到货温度.jpg</x:v>
      </x:c>
      <x:c r="N47" s="19" t="str">
        <x:v>温度异常</x:v>
      </x:c>
    </x:row>
    <x:row r="48">
      <x:c r="A48" s="17" t="str">
        <x:v>Q-IMG-009</x:v>
      </x:c>
      <x:c r="B48" s="17" t="str">
        <x:v>菜品品质</x:v>
      </x:c>
      <x:c r="C48" s="17" t="str">
        <x:v>前处理</x:v>
      </x:c>
      <x:c r="D48" s="17" t="str">
        <x:v>后厨小工</x:v>
      </x:c>
      <x:c r="E48" s="17" t="str">
        <x:v>图片</x:v>
      </x:c>
      <x:c r="F48" s="19" t="str">
        <x:v>小炒黄牛肉单份配料托盘</x:v>
      </x:c>
      <x:c r="G48" s="19" t="str">
        <x:v>牛肉250g、两种椒、芹菜、蒜，电子秤显示252g</x:v>
      </x:c>
      <x:c r="H48" s="19" t="str">
        <x:v>S/F</x:v>
      </x:c>
      <x:c r="I48" s="19" t="str">
        <x:v>待拍摄/生成</x:v>
      </x:c>
      <x:c r="J48" s="19" t="str">
        <x:v>P0</x:v>
      </x:c>
      <x:c r="K48" s="19" t="str"/>
      <x:c r="L48" s="19" t="str">
        <x:v>标准</x:v>
      </x:c>
      <x:c r="M48" s="19" t="str">
        <x:v>05-场景素材库/01-菜品品质/02-前处理/Q-IMG-009_黄牛肉单份配料.jpg</x:v>
      </x:c>
      <x:c r="N48" s="19" t="str">
        <x:v>配料齐套</x:v>
      </x:c>
    </x:row>
    <x:row r="49">
      <x:c r="A49" s="17" t="str">
        <x:v>Q-IMG-010</x:v>
      </x:c>
      <x:c r="B49" s="17" t="str">
        <x:v>菜品品质</x:v>
      </x:c>
      <x:c r="C49" s="17" t="str">
        <x:v>前处理</x:v>
      </x:c>
      <x:c r="D49" s="17" t="str">
        <x:v>后厨小工</x:v>
      </x:c>
      <x:c r="E49" s="17" t="str">
        <x:v>图片</x:v>
      </x:c>
      <x:c r="F49" s="19" t="str">
        <x:v>回温计时记录</x:v>
      </x:c>
      <x:c r="G49" s="19" t="str">
        <x:v>计时38分钟、备菜批次、环境温度</x:v>
      </x:c>
      <x:c r="H49" s="19" t="str">
        <x:v>S/F</x:v>
      </x:c>
      <x:c r="I49" s="19" t="str">
        <x:v>待拍摄/生成</x:v>
      </x:c>
      <x:c r="J49" s="19" t="str">
        <x:v>P1</x:v>
      </x:c>
      <x:c r="K49" s="19" t="str">
        <x:v>EV-Q-001</x:v>
      </x:c>
      <x:c r="L49" s="19" t="str">
        <x:v>异常事件</x:v>
      </x:c>
      <x:c r="M49" s="19" t="str">
        <x:v>05-场景素材库/01-菜品品质/02-前处理/Q-IMG-010_牛肉回温超时.jpg</x:v>
      </x:c>
      <x:c r="N49" s="19" t="str">
        <x:v>时间偏差</x:v>
      </x:c>
    </x:row>
    <x:row r="50">
      <x:c r="A50" s="17" t="str">
        <x:v>Q-IMG-011</x:v>
      </x:c>
      <x:c r="B50" s="17" t="str">
        <x:v>菜品品质</x:v>
      </x:c>
      <x:c r="C50" s="17" t="str">
        <x:v>炒菜机</x:v>
      </x:c>
      <x:c r="D50" s="17" t="str">
        <x:v>炒菜机操作员</x:v>
      </x:c>
      <x:c r="E50" s="17" t="str">
        <x:v>图片</x:v>
      </x:c>
      <x:c r="F50" s="19" t="str">
        <x:v>炒菜机与操作工全景</x:v>
      </x:c>
      <x:c r="G50" s="19" t="str">
        <x:v>机器、操作位、料盒、操作员</x:v>
      </x:c>
      <x:c r="H50" s="19" t="str">
        <x:v>S/F</x:v>
      </x:c>
      <x:c r="I50" s="19" t="str">
        <x:v>待客户提供</x:v>
      </x:c>
      <x:c r="J50" s="19" t="str">
        <x:v>P0</x:v>
      </x:c>
      <x:c r="K50" s="19" t="str"/>
      <x:c r="L50" s="19" t="str">
        <x:v>标准</x:v>
      </x:c>
      <x:c r="M50" s="19" t="str">
        <x:v>05-场景素材库/01-菜品品质/03-炒菜机/Q-IMG-011_炒菜机操作全景.jpg</x:v>
      </x:c>
      <x:c r="N50" s="19" t="str">
        <x:v>场景建立</x:v>
      </x:c>
    </x:row>
    <x:row r="51">
      <x:c r="A51" s="17" t="str">
        <x:v>Q-IMG-012</x:v>
      </x:c>
      <x:c r="B51" s="17" t="str">
        <x:v>菜品品质</x:v>
      </x:c>
      <x:c r="C51" s="17" t="str">
        <x:v>炒菜机</x:v>
      </x:c>
      <x:c r="D51" s="17" t="str">
        <x:v>炒菜机操作员</x:v>
      </x:c>
      <x:c r="E51" s="17" t="str">
        <x:v>图片</x:v>
      </x:c>
      <x:c r="F51" s="19" t="str">
        <x:v>机器菜谱屏R2.3</x:v>
      </x:c>
      <x:c r="G51" s="19" t="str">
        <x:v>小炒黄牛肉、R2.3、食材与调料克重</x:v>
      </x:c>
      <x:c r="H51" s="19" t="str">
        <x:v>S/F</x:v>
      </x:c>
      <x:c r="I51" s="19" t="str">
        <x:v>待客户提供</x:v>
      </x:c>
      <x:c r="J51" s="19" t="str">
        <x:v>P0</x:v>
      </x:c>
      <x:c r="K51" s="19" t="str"/>
      <x:c r="L51" s="19" t="str">
        <x:v>标准</x:v>
      </x:c>
      <x:c r="M51" s="19" t="str">
        <x:v>05-场景素材库/01-菜品品质/03-炒菜机/Q-IMG-012_黄牛肉菜谱R2.3.jpg</x:v>
      </x:c>
      <x:c r="N51" s="19" t="str">
        <x:v>排除版本问题</x:v>
      </x:c>
    </x:row>
    <x:row r="52">
      <x:c r="A52" s="17" t="str">
        <x:v>Q-IMG-013</x:v>
      </x:c>
      <x:c r="B52" s="17" t="str">
        <x:v>菜品品质</x:v>
      </x:c>
      <x:c r="C52" s="17" t="str">
        <x:v>炒菜机</x:v>
      </x:c>
      <x:c r="D52" s="17" t="str">
        <x:v>炒菜机操作员</x:v>
      </x:c>
      <x:c r="E52" s="17" t="str">
        <x:v>图片</x:v>
      </x:c>
      <x:c r="F52" s="19" t="str">
        <x:v>食材称重屏与料盒</x:v>
      </x:c>
      <x:c r="G52" s="19" t="str">
        <x:v>目标560g、实际562g、料盒</x:v>
      </x:c>
      <x:c r="H52" s="19" t="str">
        <x:v>S/F</x:v>
      </x:c>
      <x:c r="I52" s="19" t="str">
        <x:v>待拍摄/生成</x:v>
      </x:c>
      <x:c r="J52" s="19" t="str">
        <x:v>P0</x:v>
      </x:c>
      <x:c r="K52" s="19" t="str"/>
      <x:c r="L52" s="19" t="str">
        <x:v>标准</x:v>
      </x:c>
      <x:c r="M52" s="19" t="str">
        <x:v>05-场景素材库/01-菜品品质/03-炒菜机/Q-IMG-013_食材称重562g.jpg</x:v>
      </x:c>
      <x:c r="N52" s="19" t="str">
        <x:v>人工称重偏差</x:v>
      </x:c>
    </x:row>
    <x:row r="53">
      <x:c r="A53" s="17" t="str">
        <x:v>Q-IMG-014</x:v>
      </x:c>
      <x:c r="B53" s="17" t="str">
        <x:v>菜品品质</x:v>
      </x:c>
      <x:c r="C53" s="17" t="str">
        <x:v>炒菜机</x:v>
      </x:c>
      <x:c r="D53" s="17" t="str">
        <x:v>炒菜机操作员</x:v>
      </x:c>
      <x:c r="E53" s="17" t="str">
        <x:v>图片</x:v>
      </x:c>
      <x:c r="F53" s="19" t="str">
        <x:v>调料投放执行记录</x:v>
      </x:c>
      <x:c r="G53" s="19" t="str">
        <x:v>目标133g、实际133.2g或投放日志</x:v>
      </x:c>
      <x:c r="H53" s="19" t="str">
        <x:v>S/F</x:v>
      </x:c>
      <x:c r="I53" s="19" t="str">
        <x:v>待拍摄/生成</x:v>
      </x:c>
      <x:c r="J53" s="19" t="str">
        <x:v>P0</x:v>
      </x:c>
      <x:c r="K53" s="19" t="str"/>
      <x:c r="L53" s="19" t="str">
        <x:v>标准</x:v>
      </x:c>
      <x:c r="M53" s="19" t="str">
        <x:v>05-场景素材库/01-菜品品质/03-炒菜机/Q-IMG-014_调料投放记录.jpg</x:v>
      </x:c>
      <x:c r="N53" s="19" t="str">
        <x:v>排除调料问题</x:v>
      </x:c>
    </x:row>
    <x:row r="54">
      <x:c r="A54" s="17" t="str">
        <x:v>Q-IMG-015</x:v>
      </x:c>
      <x:c r="B54" s="17" t="str">
        <x:v>菜品品质</x:v>
      </x:c>
      <x:c r="C54" s="17" t="str">
        <x:v>出餐</x:v>
      </x:c>
      <x:c r="D54" s="17" t="str">
        <x:v>店长</x:v>
      </x:c>
      <x:c r="E54" s="17" t="str">
        <x:v>图片</x:v>
      </x:c>
      <x:c r="F54" s="19" t="str">
        <x:v>小炒黄牛肉标准成品</x:v>
      </x:c>
      <x:c r="G54" s="19" t="str">
        <x:v>牛肉嫩润、椒色鲜亮、汁液适中</x:v>
      </x:c>
      <x:c r="H54" s="19" t="str">
        <x:v>S/F</x:v>
      </x:c>
      <x:c r="I54" s="19" t="str">
        <x:v>待拍摄/生成</x:v>
      </x:c>
      <x:c r="J54" s="19" t="str">
        <x:v>P0</x:v>
      </x:c>
      <x:c r="K54" s="19" t="str"/>
      <x:c r="L54" s="19" t="str">
        <x:v>标准</x:v>
      </x:c>
      <x:c r="M54" s="19" t="str">
        <x:v>05-场景素材库/01-菜品品质/04-成品/Q-IMG-015_黄牛肉标准成品.jpg</x:v>
      </x:c>
      <x:c r="N54" s="19" t="str">
        <x:v>标准样板</x:v>
      </x:c>
    </x:row>
    <x:row r="55">
      <x:c r="A55" s="17" t="str">
        <x:v>Q-IMG-016</x:v>
      </x:c>
      <x:c r="B55" s="17" t="str">
        <x:v>菜品品质</x:v>
      </x:c>
      <x:c r="C55" s="17" t="str">
        <x:v>出餐</x:v>
      </x:c>
      <x:c r="D55" s="17" t="str">
        <x:v>店长</x:v>
      </x:c>
      <x:c r="E55" s="17" t="str">
        <x:v>图片</x:v>
      </x:c>
      <x:c r="F55" s="19" t="str">
        <x:v>小炒黄牛肉偏柴成品</x:v>
      </x:c>
      <x:c r="G55" s="19" t="str">
        <x:v>牛肉偏干、边缘略卷、但仍是可食用门店实物</x:v>
      </x:c>
      <x:c r="H55" s="19" t="str">
        <x:v>S/F</x:v>
      </x:c>
      <x:c r="I55" s="19" t="str">
        <x:v>待拍摄/生成</x:v>
      </x:c>
      <x:c r="J55" s="19" t="str">
        <x:v>P0</x:v>
      </x:c>
      <x:c r="K55" s="19" t="str"/>
      <x:c r="L55" s="19" t="str">
        <x:v>异常</x:v>
      </x:c>
      <x:c r="M55" s="19" t="str">
        <x:v>05-场景素材库/01-菜品品质/04-成品/Q-IMG-016_黄牛肉偏柴成品.jpg</x:v>
      </x:c>
      <x:c r="N55" s="19" t="str">
        <x:v>异常样板</x:v>
      </x:c>
    </x:row>
    <x:row r="56">
      <x:c r="A56" s="17" t="str">
        <x:v>Q-IMG-017</x:v>
      </x:c>
      <x:c r="B56" s="17" t="str">
        <x:v>菜品品质</x:v>
      </x:c>
      <x:c r="C56" s="17" t="str">
        <x:v>复验</x:v>
      </x:c>
      <x:c r="D56" s="17" t="str">
        <x:v>总部品控</x:v>
      </x:c>
      <x:c r="E56" s="17" t="str">
        <x:v>图片</x:v>
      </x:c>
      <x:c r="F56" s="19" t="str">
        <x:v>标准与异常成品对比</x:v>
      </x:c>
      <x:c r="G56" s="19" t="str">
        <x:v>同盘、同角度；标准/异常标签</x:v>
      </x:c>
      <x:c r="H56" s="19" t="str">
        <x:v>S/F</x:v>
      </x:c>
      <x:c r="I56" s="19" t="str">
        <x:v>待拍摄/生成</x:v>
      </x:c>
      <x:c r="J56" s="19" t="str">
        <x:v>P0</x:v>
      </x:c>
      <x:c r="K56" s="19" t="str"/>
      <x:c r="L56" s="19" t="str">
        <x:v>对比</x:v>
      </x:c>
      <x:c r="M56" s="19" t="str">
        <x:v>05-场景素材库/01-菜品品质/04-成品/Q-IMG-017_黄牛肉标准异常对比.jpg</x:v>
      </x:c>
      <x:c r="N56" s="19" t="str">
        <x:v>事件复盘</x:v>
      </x:c>
    </x:row>
    <x:row r="57">
      <x:c r="A57" s="17" t="str">
        <x:v>Q-IMG-018</x:v>
      </x:c>
      <x:c r="B57" s="17" t="str">
        <x:v>菜品品质</x:v>
      </x:c>
      <x:c r="C57" s="17" t="str">
        <x:v>收货</x:v>
      </x:c>
      <x:c r="D57" s="17" t="str">
        <x:v>店长/收货</x:v>
      </x:c>
      <x:c r="E57" s="17" t="str">
        <x:v>图片</x:v>
      </x:c>
      <x:c r="F57" s="19" t="str">
        <x:v>酸包菜感官与pH抽检</x:v>
      </x:c>
      <x:c r="G57" s="19" t="str">
        <x:v>取样碟、pH试纸4.1、批次标签</x:v>
      </x:c>
      <x:c r="H57" s="19" t="str">
        <x:v>S/F</x:v>
      </x:c>
      <x:c r="I57" s="19" t="str">
        <x:v>待拍摄/生成</x:v>
      </x:c>
      <x:c r="J57" s="19" t="str">
        <x:v>P1</x:v>
      </x:c>
      <x:c r="K57" s="19" t="str">
        <x:v>EV-Q-001</x:v>
      </x:c>
      <x:c r="L57" s="19" t="str">
        <x:v>异常事件</x:v>
      </x:c>
      <x:c r="M57" s="19" t="str">
        <x:v>05-场景素材库/01-菜品品质/01-收货/Q-IMG-018_酸包菜酸度抽检.jpg</x:v>
      </x:c>
      <x:c r="N57" s="19" t="str">
        <x:v>供应商复验</x:v>
      </x:c>
    </x:row>
    <x:row r="58">
      <x:c r="A58" s="17" t="str">
        <x:v>Q-IMG-019</x:v>
      </x:c>
      <x:c r="B58" s="17" t="str">
        <x:v>菜品品质</x:v>
      </x:c>
      <x:c r="C58" s="17" t="str">
        <x:v>前处理</x:v>
      </x:c>
      <x:c r="D58" s="17" t="str">
        <x:v>后厨小工</x:v>
      </x:c>
      <x:c r="E58" s="17" t="str">
        <x:v>图片</x:v>
      </x:c>
      <x:c r="F58" s="19" t="str">
        <x:v>粉皮浸泡标准与粘连异常</x:v>
      </x:c>
      <x:c r="G58" s="19" t="str">
        <x:v>标准小批量、异常大批量粘连、水温/计时卡</x:v>
      </x:c>
      <x:c r="H58" s="19" t="str">
        <x:v>S/F</x:v>
      </x:c>
      <x:c r="I58" s="19" t="str">
        <x:v>待拍摄/生成</x:v>
      </x:c>
      <x:c r="J58" s="19" t="str">
        <x:v>P1</x:v>
      </x:c>
      <x:c r="K58" s="19" t="str"/>
      <x:c r="L58" s="19" t="str">
        <x:v>对比</x:v>
      </x:c>
      <x:c r="M58" s="19" t="str">
        <x:v>05-场景素材库/01-菜品品质/02-前处理/Q-IMG-019_粉皮浸泡对比.jpg</x:v>
      </x:c>
      <x:c r="N58" s="19" t="str">
        <x:v>前处理SOP</x:v>
      </x:c>
    </x:row>
    <x:row r="59">
      <x:c r="A59" s="17" t="str">
        <x:v>S-IMG-001</x:v>
      </x:c>
      <x:c r="B59" s="17" t="str">
        <x:v>精准备货</x:v>
      </x:c>
      <x:c r="C59" s="17" t="str">
        <x:v>盘点</x:v>
      </x:c>
      <x:c r="D59" s="17" t="str">
        <x:v>店长/收货</x:v>
      </x:c>
      <x:c r="E59" s="17" t="str">
        <x:v>图片</x:v>
      </x:c>
      <x:c r="F59" s="19" t="str">
        <x:v>门店冷藏与干货库存全景</x:v>
      </x:c>
      <x:c r="G59" s="19" t="str">
        <x:v>货架分区、标签、周转筐</x:v>
      </x:c>
      <x:c r="H59" s="19" t="str">
        <x:v>S/F</x:v>
      </x:c>
      <x:c r="I59" s="19" t="str">
        <x:v>待客户提供</x:v>
      </x:c>
      <x:c r="J59" s="19" t="str">
        <x:v>P0</x:v>
      </x:c>
      <x:c r="K59" s="19" t="str"/>
      <x:c r="L59" s="19" t="str">
        <x:v>标准</x:v>
      </x:c>
      <x:c r="M59" s="19" t="str">
        <x:v>05-场景素材库/02-精准备货/01-库存/S-IMG-001_门店库存全景.jpg</x:v>
      </x:c>
      <x:c r="N59" s="19" t="str">
        <x:v>库存场景建立</x:v>
      </x:c>
    </x:row>
    <x:row r="60">
      <x:c r="A60" s="17" t="str">
        <x:v>S-IMG-002</x:v>
      </x:c>
      <x:c r="B60" s="17" t="str">
        <x:v>精准备货</x:v>
      </x:c>
      <x:c r="C60" s="17" t="str">
        <x:v>盘点</x:v>
      </x:c>
      <x:c r="D60" s="17" t="str">
        <x:v>店长/收货</x:v>
      </x:c>
      <x:c r="E60" s="17" t="str">
        <x:v>图片</x:v>
      </x:c>
      <x:c r="F60" s="19" t="str">
        <x:v>青椒库存筐与称重</x:v>
      </x:c>
      <x:c r="G60" s="19" t="str">
        <x:v>青椒、电子秤、库存标签、净重</x:v>
      </x:c>
      <x:c r="H60" s="19" t="str">
        <x:v>S/F</x:v>
      </x:c>
      <x:c r="I60" s="19" t="str">
        <x:v>待拍摄/生成</x:v>
      </x:c>
      <x:c r="J60" s="19" t="str">
        <x:v>P0</x:v>
      </x:c>
      <x:c r="K60" s="19" t="str"/>
      <x:c r="L60" s="19" t="str">
        <x:v>标准</x:v>
      </x:c>
      <x:c r="M60" s="19" t="str">
        <x:v>05-场景素材库/02-精准备货/01-库存/S-IMG-002_青椒库存称重.jpg</x:v>
      </x:c>
      <x:c r="N60" s="19" t="str">
        <x:v>库存快照</x:v>
      </x:c>
    </x:row>
    <x:row r="61">
      <x:c r="A61" s="17" t="str">
        <x:v>S-IMG-003</x:v>
      </x:c>
      <x:c r="B61" s="17" t="str">
        <x:v>精准备货</x:v>
      </x:c>
      <x:c r="C61" s="17" t="str">
        <x:v>损耗</x:v>
      </x:c>
      <x:c r="D61" s="17" t="str">
        <x:v>后厨小工</x:v>
      </x:c>
      <x:c r="E61" s="17" t="str">
        <x:v>图片</x:v>
      </x:c>
      <x:c r="F61" s="19" t="str">
        <x:v>青椒报损称重</x:v>
      </x:c>
      <x:c r="G61" s="19" t="str">
        <x:v>可识别的边角/损耗、重量、原因卡</x:v>
      </x:c>
      <x:c r="H61" s="19" t="str">
        <x:v>S/F</x:v>
      </x:c>
      <x:c r="I61" s="19" t="str">
        <x:v>待拍摄/生成</x:v>
      </x:c>
      <x:c r="J61" s="19" t="str">
        <x:v>P1</x:v>
      </x:c>
      <x:c r="K61" s="19" t="str"/>
      <x:c r="L61" s="19" t="str">
        <x:v>异常</x:v>
      </x:c>
      <x:c r="M61" s="19" t="str">
        <x:v>05-场景素材库/02-精准备货/01-库存/S-IMG-003_青椒报损称重.jpg</x:v>
      </x:c>
      <x:c r="N61" s="19" t="str">
        <x:v>损耗证据</x:v>
      </x:c>
    </x:row>
    <x:row r="62">
      <x:c r="A62" s="17" t="str">
        <x:v>S-IMG-004</x:v>
      </x:c>
      <x:c r="B62" s="17" t="str">
        <x:v>精准备货</x:v>
      </x:c>
      <x:c r="C62" s="17" t="str">
        <x:v>采购</x:v>
      </x:c>
      <x:c r="D62" s="17" t="str">
        <x:v>采购</x:v>
      </x:c>
      <x:c r="E62" s="17" t="str">
        <x:v>图片</x:v>
      </x:c>
      <x:c r="F62" s="19" t="str">
        <x:v>青椒采购单与42kg分配表</x:v>
      </x:c>
      <x:c r="G62" s="19" t="str">
        <x:v>采购日期、总量42kg、8店分配、审批人</x:v>
      </x:c>
      <x:c r="H62" s="19" t="str">
        <x:v>S/F</x:v>
      </x:c>
      <x:c r="I62" s="19" t="str">
        <x:v>待拍摄/生成</x:v>
      </x:c>
      <x:c r="J62" s="19" t="str">
        <x:v>P0</x:v>
      </x:c>
      <x:c r="K62" s="19" t="str"/>
      <x:c r="L62" s="19" t="str">
        <x:v>标准</x:v>
      </x:c>
      <x:c r="M62" s="19" t="str">
        <x:v>05-场景素材库/02-精准备货/02-采购/S-IMG-004_青椒采购分配单.jpg</x:v>
      </x:c>
      <x:c r="N62" s="19" t="str">
        <x:v>采购执行</x:v>
      </x:c>
    </x:row>
    <x:row r="63">
      <x:c r="A63" s="17" t="str">
        <x:v>S-IMG-005</x:v>
      </x:c>
      <x:c r="B63" s="17" t="str">
        <x:v>精准备货</x:v>
      </x:c>
      <x:c r="C63" s="17" t="str">
        <x:v>调拨</x:v>
      </x:c>
      <x:c r="D63" s="17" t="str">
        <x:v>店长/收货</x:v>
      </x:c>
      <x:c r="E63" s="17" t="str">
        <x:v>图片</x:v>
      </x:c>
      <x:c r="F63" s="19" t="str">
        <x:v>跨店调拨出库</x:v>
      </x:c>
      <x:c r="G63" s="19" t="str">
        <x:v>封筐、食材、数量、调出/调入店、时间</x:v>
      </x:c>
      <x:c r="H63" s="19" t="str">
        <x:v>S/F</x:v>
      </x:c>
      <x:c r="I63" s="19" t="str">
        <x:v>待拍摄/生成</x:v>
      </x:c>
      <x:c r="J63" s="19" t="str">
        <x:v>P1</x:v>
      </x:c>
      <x:c r="K63" s="19" t="str"/>
      <x:c r="L63" s="19" t="str">
        <x:v>标准</x:v>
      </x:c>
      <x:c r="M63" s="19" t="str">
        <x:v>05-场景素材库/02-精准备货/03-调拨/S-IMG-005_跨店调拨出库.jpg</x:v>
      </x:c>
      <x:c r="N63" s="19" t="str">
        <x:v>调拨证据</x:v>
      </x:c>
    </x:row>
    <x:row r="64">
      <x:c r="A64" s="17" t="str">
        <x:v>S-IMG-006</x:v>
      </x:c>
      <x:c r="B64" s="17" t="str">
        <x:v>精准备货</x:v>
      </x:c>
      <x:c r="C64" s="17" t="str">
        <x:v>收货</x:v>
      </x:c>
      <x:c r="D64" s="17" t="str">
        <x:v>店长/收货</x:v>
      </x:c>
      <x:c r="E64" s="17" t="str">
        <x:v>图片</x:v>
      </x:c>
      <x:c r="F64" s="19" t="str">
        <x:v>采购到货确认</x:v>
      </x:c>
      <x:c r="G64" s="19" t="str">
        <x:v>到货筐、数量、供应商标签、收货人</x:v>
      </x:c>
      <x:c r="H64" s="19" t="str">
        <x:v>S/F</x:v>
      </x:c>
      <x:c r="I64" s="19" t="str">
        <x:v>待拍摄/生成</x:v>
      </x:c>
      <x:c r="J64" s="19" t="str">
        <x:v>P1</x:v>
      </x:c>
      <x:c r="K64" s="19" t="str"/>
      <x:c r="L64" s="19" t="str">
        <x:v>标准</x:v>
      </x:c>
      <x:c r="M64" s="19" t="str">
        <x:v>05-场景素材库/02-精准备货/02-采购/S-IMG-006_青椒到货确认.jpg</x:v>
      </x:c>
      <x:c r="N64" s="19" t="str">
        <x:v>到货闭环</x:v>
      </x:c>
    </x:row>
    <x:row r="65">
      <x:c r="A65" s="17" t="str">
        <x:v>M-IMG-001</x:v>
      </x:c>
      <x:c r="B65" s="17" t="str">
        <x:v>真实毛利</x:v>
      </x:c>
      <x:c r="C65" s="17" t="str">
        <x:v>采购价</x:v>
      </x:c>
      <x:c r="D65" s="17" t="str">
        <x:v>采购</x:v>
      </x:c>
      <x:c r="E65" s="17" t="str">
        <x:v>图片</x:v>
      </x:c>
      <x:c r="F65" s="19" t="str">
        <x:v>脱敏采购发票或价目表</x:v>
      </x:c>
      <x:c r="G65" s="19" t="str">
        <x:v>食材、规格、单位、含税单价、日期</x:v>
      </x:c>
      <x:c r="H65" s="19" t="str">
        <x:v>S/F</x:v>
      </x:c>
      <x:c r="I65" s="19" t="str">
        <x:v>待客户提供</x:v>
      </x:c>
      <x:c r="J65" s="19" t="str">
        <x:v>P0</x:v>
      </x:c>
      <x:c r="K65" s="19" t="str"/>
      <x:c r="L65" s="19" t="str">
        <x:v>标准</x:v>
      </x:c>
      <x:c r="M65" s="19" t="str">
        <x:v>05-场景素材库/03-真实毛利/M-IMG-001_采购价单据.jpg</x:v>
      </x:c>
      <x:c r="N65" s="19" t="str">
        <x:v>成本证据</x:v>
      </x:c>
    </x:row>
    <x:row r="66">
      <x:c r="A66" s="17" t="str">
        <x:v>M-IMG-002</x:v>
      </x:c>
      <x:c r="B66" s="17" t="str">
        <x:v>真实毛利</x:v>
      </x:c>
      <x:c r="C66" s="17" t="str">
        <x:v>外卖费用</x:v>
      </x:c>
      <x:c r="D66" s="17" t="str">
        <x:v>店长</x:v>
      </x:c>
      <x:c r="E66" s="17" t="str">
        <x:v>图片</x:v>
      </x:c>
      <x:c r="F66" s="19" t="str">
        <x:v>包装盒与成本标签</x:v>
      </x:c>
      <x:c r="G66" s="19" t="str">
        <x:v>餐盒、餐具、袋、单套成本1.2元</x:v>
      </x:c>
      <x:c r="H66" s="19" t="str">
        <x:v>S/F</x:v>
      </x:c>
      <x:c r="I66" s="19" t="str">
        <x:v>待拍摄/生成</x:v>
      </x:c>
      <x:c r="J66" s="19" t="str">
        <x:v>P1</x:v>
      </x:c>
      <x:c r="K66" s="19" t="str"/>
      <x:c r="L66" s="19" t="str">
        <x:v>标准</x:v>
      </x:c>
      <x:c r="M66" s="19" t="str">
        <x:v>05-场景素材库/03-真实毛利/M-IMG-002_外卖包装成本.jpg</x:v>
      </x:c>
      <x:c r="N66" s="19" t="str">
        <x:v>包装成本</x:v>
      </x:c>
    </x:row>
    <x:row r="67">
      <x:c r="A67" s="17" t="str">
        <x:v>C-IMG-001</x:v>
      </x:c>
      <x:c r="B67" s="17" t="str">
        <x:v>顾客体验</x:v>
      </x:c>
      <x:c r="C67" s="17" t="str">
        <x:v>点单</x:v>
      </x:c>
      <x:c r="D67" s="17" t="str">
        <x:v>服务员</x:v>
      </x:c>
      <x:c r="E67" s="17" t="str">
        <x:v>图片</x:v>
      </x:c>
      <x:c r="F67" s="19" t="str">
        <x:v>带辣度标签的门店菜单</x:v>
      </x:c>
      <x:c r="G67" s="19" t="str">
        <x:v>辣度等级、可选辣度、菜名价格</x:v>
      </x:c>
      <x:c r="H67" s="19" t="str">
        <x:v>S/F</x:v>
      </x:c>
      <x:c r="I67" s="19" t="str">
        <x:v>待拍摄/生成</x:v>
      </x:c>
      <x:c r="J67" s="19" t="str">
        <x:v>P1</x:v>
      </x:c>
      <x:c r="K67" s="19" t="str"/>
      <x:c r="L67" s="19" t="str">
        <x:v>整改后</x:v>
      </x:c>
      <x:c r="M67" s="19" t="str">
        <x:v>05-场景素材库/04-顾客体验/C-IMG-001_菜单辣度标签.jpg</x:v>
      </x:c>
      <x:c r="N67" s="19" t="str">
        <x:v>整改证据</x:v>
      </x:c>
    </x:row>
    <x:row r="68">
      <x:c r="A68" s="17" t="str">
        <x:v>C-IMG-002</x:v>
      </x:c>
      <x:c r="B68" s="17" t="str">
        <x:v>顾客体验</x:v>
      </x:c>
      <x:c r="C68" s="17" t="str">
        <x:v>点单</x:v>
      </x:c>
      <x:c r="D68" s="17" t="str">
        <x:v>服务员</x:v>
      </x:c>
      <x:c r="E68" s="17" t="str">
        <x:v>图片</x:v>
      </x:c>
      <x:c r="F68" s="19" t="str">
        <x:v>服务员二次确认辣度</x:v>
      </x:c>
      <x:c r="G68" s="19" t="str">
        <x:v>服务员、顾客、菜单辣度选项</x:v>
      </x:c>
      <x:c r="H68" s="19" t="str">
        <x:v>S/F</x:v>
      </x:c>
      <x:c r="I68" s="19" t="str">
        <x:v>待拍摄/生成</x:v>
      </x:c>
      <x:c r="J68" s="19" t="str">
        <x:v>P1</x:v>
      </x:c>
      <x:c r="K68" s="19" t="str"/>
      <x:c r="L68" s="19" t="str">
        <x:v>整改后</x:v>
      </x:c>
      <x:c r="M68" s="19" t="str">
        <x:v>05-场景素材库/04-顾客体验/C-IMG-002_辣度二次确认.jpg</x:v>
      </x:c>
      <x:c r="N68" s="19" t="str">
        <x:v>服务SOP</x:v>
      </x:c>
    </x:row>
    <x:row r="69">
      <x:c r="A69" s="17" t="str">
        <x:v>D-IMG-001</x:v>
      </x:c>
      <x:c r="B69" s="17" t="str">
        <x:v>外卖经营</x:v>
      </x:c>
      <x:c r="C69" s="17" t="str">
        <x:v>订单</x:v>
      </x:c>
      <x:c r="D69" s="17" t="str">
        <x:v>店长</x:v>
      </x:c>
      <x:c r="E69" s="17" t="str">
        <x:v>图片</x:v>
      </x:c>
      <x:c r="F69" s="19" t="str">
        <x:v>脱敏外卖订单小票</x:v>
      </x:c>
      <x:c r="G69" s="19" t="str">
        <x:v>菜品、原价、折扣、包装、订单时间</x:v>
      </x:c>
      <x:c r="H69" s="19" t="str">
        <x:v>S/F</x:v>
      </x:c>
      <x:c r="I69" s="19" t="str">
        <x:v>待客户提供</x:v>
      </x:c>
      <x:c r="J69" s="19" t="str">
        <x:v>P1</x:v>
      </x:c>
      <x:c r="K69" s="19" t="str"/>
      <x:c r="L69" s="19" t="str">
        <x:v>标准</x:v>
      </x:c>
      <x:c r="M69" s="19" t="str">
        <x:v>05-场景素材库/05-外卖经营/D-IMG-001_外卖订单小票.jpg</x:v>
      </x:c>
      <x:c r="N69" s="19" t="str">
        <x:v>单笔贡献</x:v>
      </x:c>
    </x:row>
    <x:row r="70">
      <x:c r="A70" s="17" t="str">
        <x:v>T-IMG-001</x:v>
      </x:c>
      <x:c r="B70" s="17" t="str">
        <x:v>任务与复盘</x:v>
      </x:c>
      <x:c r="C70" s="17" t="str">
        <x:v>验收</x:v>
      </x:c>
      <x:c r="D70" s="17" t="str">
        <x:v>店长</x:v>
      </x:c>
      <x:c r="E70" s="17" t="str">
        <x:v>图片</x:v>
      </x:c>
      <x:c r="F70" s="19" t="str">
        <x:v>同一任务的执行证据组合</x:v>
      </x:c>
      <x:c r="G70" s="19" t="str">
        <x:v>前/中/后照片、时间、责任人、验收结果</x:v>
      </x:c>
      <x:c r="H70" s="19" t="str">
        <x:v>S/F</x:v>
      </x:c>
      <x:c r="I70" s="19" t="str">
        <x:v>待拍摄/生成</x:v>
      </x:c>
      <x:c r="J70" s="19" t="str">
        <x:v>P1</x:v>
      </x:c>
      <x:c r="K70" s="19" t="str"/>
      <x:c r="L70" s="19" t="str">
        <x:v>闭环</x:v>
      </x:c>
      <x:c r="M70" s="19" t="str">
        <x:v>05-场景素材库/06-任务复盘/T-IMG-001_任务证据三联图.jpg</x:v>
      </x:c>
      <x:c r="N70" s="19" t="str">
        <x:v>任务闭环</x:v>
      </x:c>
    </x:row>
  </x:sheetData>
  <x:mergeCells>
    <x:mergeCell ref="A1:N1"/>
    <x:mergeCell ref="A2:N2"/>
  </x:mergeCells>
  <x:conditionalFormatting sqref="I5:I70">
    <x:cfRule type="containsText" dxfId="0" priority="1" operator="containsText" text="已有"/>
    <x:cfRule type="containsText" dxfId="1" priority="2" operator="containsText" text="本轮"/>
    <x:cfRule type="containsText" dxfId="2" priority="3" operator="containsText" text="待"/>
  </x:conditionalFormatting>
  <x:dataValidations count="2">
    <x:dataValidation type="list" sqref="I5:I70">
      <x:formula1>"已有可用,已有低清参考,本轮模拟补齐,待拍摄/生成,待客户提供"</x:formula1>
    </x:dataValidation>
    <x:dataValidation type="list" sqref="J5:J7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9e34d96bb147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8" hidden="0" customWidth="1"/>
    <x:col min="5" max="5" width="30" hidden="0" customWidth="1"/>
    <x:col min="6" max="6" width="14" hidden="0" customWidth="1"/>
    <x:col min="7" max="7" width="16" hidden="0" customWidth="1"/>
    <x:col min="8" max="8" width="40" hidden="0" customWidth="1"/>
    <x:col min="9" max="9" width="32" hidden="0" customWidth="1"/>
    <x:col min="10" max="10" width="24" hidden="0" customWidth="1"/>
    <x:col min="11" max="11" width="10" hidden="0" customWidth="1"/>
    <x:col min="12" max="12" width="16" hidden="0" customWidth="1"/>
    <x:col min="13" max="13" width="32" hidden="0" customWidth="1"/>
    <x:col min="14" max="14" width="16" hidden="0" customWidth="1"/>
    <x:col min="15" max="15" width="28" hidden="0" customWidth="1"/>
    <x:col min="16" max="16" width="10" hidden="0" customWidth="1"/>
    <x:col min="17" max="17" width="58" hidden="0" customWidth="1"/>
  </x:cols>
  <x:sheetData>
    <x:row r="1" ht="34" customHeight="1">
      <x:c r="A1" s="3" t="str">
        <x:v>图片拍摄与生成清单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0" customHeight="1">
      <x:c r="A2" s="7" t="str">
        <x:v>先确保同一事件中的批次卡、食材、操作环境和器皿风格一致，再追求画面精致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0" customHeight="1">
      <x:c r="A4" s="12" t="str">
        <x:v>图片ID</x:v>
      </x:c>
      <x:c r="B4" s="12" t="str">
        <x:v>场景</x:v>
      </x:c>
      <x:c r="C4" s="12" t="str">
        <x:v>SOP节点</x:v>
      </x:c>
      <x:c r="D4" s="12" t="str">
        <x:v>角色</x:v>
      </x:c>
      <x:c r="E4" s="12" t="str">
        <x:v>主体</x:v>
      </x:c>
      <x:c r="F4" s="12" t="str">
        <x:v>状态/情境</x:v>
      </x:c>
      <x:c r="G4" s="12" t="str">
        <x:v>镜头类型</x:v>
      </x:c>
      <x:c r="H4" s="12" t="str">
        <x:v>必须出现</x:v>
      </x:c>
      <x:c r="I4" s="12" t="str">
        <x:v>构图</x:v>
      </x:c>
      <x:c r="J4" s="12" t="str">
        <x:v>页面用途</x:v>
      </x:c>
      <x:c r="K4" s="12" t="str">
        <x:v>方向</x:v>
      </x:c>
      <x:c r="L4" s="12" t="str">
        <x:v>最低分辨率</x:v>
      </x:c>
      <x:c r="M4" s="12" t="str">
        <x:v>风格要求</x:v>
      </x:c>
      <x:c r="N4" s="12" t="str">
        <x:v>当前状态</x:v>
      </x:c>
      <x:c r="O4" s="12" t="str">
        <x:v>获取方式</x:v>
      </x:c>
      <x:c r="P4" s="12" t="str">
        <x:v>优先级</x:v>
      </x:c>
      <x:c r="Q4" s="12" t="str">
        <x:v>目标文件</x:v>
      </x:c>
    </x:row>
    <x:row r="5">
      <x:c r="A5" s="17" t="str">
        <x:v>Q-IMG-001</x:v>
      </x:c>
      <x:c r="B5" s="17" t="str">
        <x:v>菜品品质</x:v>
      </x:c>
      <x:c r="C5" s="17" t="str">
        <x:v>收货</x:v>
      </x:c>
      <x:c r="D5" s="17" t="str">
        <x:v>店长/收货</x:v>
      </x:c>
      <x:c r="E5" s="19" t="str">
        <x:v>整筐螺丝椒到货全景</x:v>
      </x:c>
      <x:c r="F5" s="19" t="str">
        <x:v>标准</x:v>
      </x:c>
      <x:c r="G5" s="19" t="str">
        <x:v>纪实近景</x:v>
      </x:c>
      <x:c r="H5" s="19" t="str">
        <x:v>整筐、到货标签、手持批次卡</x:v>
      </x:c>
      <x:c r="I5" s="19" t="str">
        <x:v>45度俯拍，厨房自然光</x:v>
      </x:c>
      <x:c r="J5" s="19" t="str">
        <x:v>收货证据卡</x:v>
      </x:c>
      <x:c r="K5" s="19" t="str">
        <x:v>横版</x:v>
      </x:c>
      <x:c r="L5" s="19" t="str">
        <x:v>1600×1000</x:v>
      </x:c>
      <x:c r="M5" s="19" t="str">
        <x:v>暖色、真实门店、无品牌水印</x:v>
      </x:c>
      <x:c r="N5" s="19" t="str">
        <x:v>待拍摄/生成</x:v>
      </x:c>
      <x:c r="O5" s="19" t="str">
        <x:v>客户实拍优先，AI生成可作Demo</x:v>
      </x:c>
      <x:c r="P5" s="19" t="str">
        <x:v>P0</x:v>
      </x:c>
      <x:c r="Q5" s="19" t="str">
        <x:v>05-场景素材库/01-菜品品质/01-收货/Q-IMG-001_螺丝椒到货全景.jpg</x:v>
      </x:c>
    </x:row>
    <x:row r="6">
      <x:c r="A6" s="17" t="str">
        <x:v>Q-IMG-002</x:v>
      </x:c>
      <x:c r="B6" s="17" t="str">
        <x:v>菜品品质</x:v>
      </x:c>
      <x:c r="C6" s="17" t="str">
        <x:v>收货</x:v>
      </x:c>
      <x:c r="D6" s="17" t="str">
        <x:v>店长/收货</x:v>
      </x:c>
      <x:c r="E6" s="19" t="str">
        <x:v>螺丝椒表皮与切面特写</x:v>
      </x:c>
      <x:c r="F6" s="19" t="str">
        <x:v>标准</x:v>
      </x:c>
      <x:c r="G6" s="19" t="str">
        <x:v>微距</x:v>
      </x:c>
      <x:c r="H6" s="19" t="str">
        <x:v>色泽、表皮、蒂部、切面水分</x:v>
      </x:c>
      <x:c r="I6" s="19" t="str">
        <x:v>单只与切面对照，带尺寸参照</x:v>
      </x:c>
      <x:c r="J6" s="19" t="str">
        <x:v>感官检查</x:v>
      </x:c>
      <x:c r="K6" s="19" t="str">
        <x:v>横版</x:v>
      </x:c>
      <x:c r="L6" s="19" t="str">
        <x:v>1600×1000</x:v>
      </x:c>
      <x:c r="M6" s="19" t="str">
        <x:v>中性背景、自然光</x:v>
      </x:c>
      <x:c r="N6" s="19" t="str">
        <x:v>待拍摄/生成</x:v>
      </x:c>
      <x:c r="O6" s="19" t="str">
        <x:v>客户实拍优先</x:v>
      </x:c>
      <x:c r="P6" s="19" t="str">
        <x:v>P0</x:v>
      </x:c>
      <x:c r="Q6" s="19" t="str">
        <x:v>05-场景素材库/01-菜品品质/01-收货/Q-IMG-002_螺丝椒标准特写.jpg</x:v>
      </x:c>
    </x:row>
    <x:row r="7">
      <x:c r="A7" s="17" t="str">
        <x:v>Q-IMG-003</x:v>
      </x:c>
      <x:c r="B7" s="17" t="str">
        <x:v>菜品品质</x:v>
      </x:c>
      <x:c r="C7" s="17" t="str">
        <x:v>收货</x:v>
      </x:c>
      <x:c r="D7" s="17" t="str">
        <x:v>店长/收货</x:v>
      </x:c>
      <x:c r="E7" s="19" t="str">
        <x:v>失水皱缩或碰伤辣椒特写</x:v>
      </x:c>
      <x:c r="F7" s="19" t="str">
        <x:v>异常</x:v>
      </x:c>
      <x:c r="G7" s="19" t="str">
        <x:v>微距</x:v>
      </x:c>
      <x:c r="H7" s="19" t="str">
        <x:v>皱缩、软点或碰伤位置</x:v>
      </x:c>
      <x:c r="I7" s="19" t="str">
        <x:v>标准与异常各一只并排</x:v>
      </x:c>
      <x:c r="J7" s="19" t="str">
        <x:v>异常对比</x:v>
      </x:c>
      <x:c r="K7" s="19" t="str">
        <x:v>横版</x:v>
      </x:c>
      <x:c r="L7" s="19" t="str">
        <x:v>1600×1000</x:v>
      </x:c>
      <x:c r="M7" s="19" t="str">
        <x:v>同Q-IMG-002背景</x:v>
      </x:c>
      <x:c r="N7" s="19" t="str">
        <x:v>待拍摄/生成</x:v>
      </x:c>
      <x:c r="O7" s="19" t="str">
        <x:v>AI生成可先用于Demo</x:v>
      </x:c>
      <x:c r="P7" s="19" t="str">
        <x:v>P1</x:v>
      </x:c>
      <x:c r="Q7" s="19" t="str">
        <x:v>05-场景素材库/01-菜品品质/01-收货/Q-IMG-003_螺丝椒异常特写.jpg</x:v>
      </x:c>
    </x:row>
    <x:row r="8">
      <x:c r="A8" s="17" t="str">
        <x:v>Q-IMG-004</x:v>
      </x:c>
      <x:c r="B8" s="17" t="str">
        <x:v>菜品品质</x:v>
      </x:c>
      <x:c r="C8" s="17" t="str">
        <x:v>收货</x:v>
      </x:c>
      <x:c r="D8" s="17" t="str">
        <x:v>店长/收货</x:v>
      </x:c>
      <x:c r="E8" s="19" t="str">
        <x:v>牛肉包装与批次标签B0712-03</x:v>
      </x:c>
      <x:c r="F8" s="19" t="str">
        <x:v>异常事件</x:v>
      </x:c>
      <x:c r="G8" s="19" t="str">
        <x:v>纪实特写</x:v>
      </x:c>
      <x:c r="H8" s="19" t="str">
        <x:v>供应商、品名、批次、日期、净重；供应商名可模拟</x:v>
      </x:c>
      <x:c r="I8" s="19" t="str">
        <x:v>标签清晰，个人信息打码</x:v>
      </x:c>
      <x:c r="J8" s="19" t="str">
        <x:v>批次追溯</x:v>
      </x:c>
      <x:c r="K8" s="19" t="str">
        <x:v>横版</x:v>
      </x:c>
      <x:c r="L8" s="19" t="str">
        <x:v>1600×1000</x:v>
      </x:c>
      <x:c r="M8" s="19" t="str">
        <x:v>冷藏操作台</x:v>
      </x:c>
      <x:c r="N8" s="19" t="str">
        <x:v>待拍摄/生成</x:v>
      </x:c>
      <x:c r="O8" s="19" t="str">
        <x:v>AI生成模拟标签，后续替换实拍</x:v>
      </x:c>
      <x:c r="P8" s="19" t="str">
        <x:v>P0</x:v>
      </x:c>
      <x:c r="Q8" s="19" t="str">
        <x:v>05-场景素材库/01-菜品品质/01-收货/Q-IMG-004_牛肉批次标签.jpg</x:v>
      </x:c>
    </x:row>
    <x:row r="9">
      <x:c r="A9" s="17" t="str">
        <x:v>Q-IMG-005</x:v>
      </x:c>
      <x:c r="B9" s="17" t="str">
        <x:v>菜品品质</x:v>
      </x:c>
      <x:c r="C9" s="17" t="str">
        <x:v>收货</x:v>
      </x:c>
      <x:c r="D9" s="17" t="str">
        <x:v>店长/收货</x:v>
      </x:c>
      <x:c r="E9" s="19" t="str">
        <x:v>牛肉开包颜色与汁液</x:v>
      </x:c>
      <x:c r="F9" s="19" t="str">
        <x:v>异常</x:v>
      </x:c>
      <x:c r="G9" s="19" t="str">
        <x:v>纪实近景</x:v>
      </x:c>
      <x:c r="H9" s="19" t="str">
        <x:v>偏暗红肉色、包装底部汁液</x:v>
      </x:c>
      <x:c r="I9" s="19" t="str">
        <x:v>俯拍开包托盘，附批次卡</x:v>
      </x:c>
      <x:c r="J9" s="19" t="str">
        <x:v>异常证据</x:v>
      </x:c>
      <x:c r="K9" s="19" t="str">
        <x:v>横版</x:v>
      </x:c>
      <x:c r="L9" s="19" t="str">
        <x:v>1600×1000</x:v>
      </x:c>
      <x:c r="M9" s="19" t="str">
        <x:v>不夸张、不腐败化</x:v>
      </x:c>
      <x:c r="N9" s="19" t="str">
        <x:v>待拍摄/生成</x:v>
      </x:c>
      <x:c r="O9" s="19" t="str">
        <x:v>AI生成可先用于Demo</x:v>
      </x:c>
      <x:c r="P9" s="19" t="str">
        <x:v>P0</x:v>
      </x:c>
      <x:c r="Q9" s="19" t="str">
        <x:v>05-场景素材库/01-菜品品质/01-收货/Q-IMG-005_牛肉颜色汁液异常.jpg</x:v>
      </x:c>
    </x:row>
    <x:row r="10">
      <x:c r="A10" s="17" t="str">
        <x:v>Q-IMG-006</x:v>
      </x:c>
      <x:c r="B10" s="17" t="str">
        <x:v>菜品品质</x:v>
      </x:c>
      <x:c r="C10" s="17" t="str">
        <x:v>前处理</x:v>
      </x:c>
      <x:c r="D10" s="17" t="str">
        <x:v>后厨小工</x:v>
      </x:c>
      <x:c r="E10" s="19" t="str">
        <x:v>牛肉切片厚度测量</x:v>
      </x:c>
      <x:c r="F10" s="19" t="str">
        <x:v>异常事件</x:v>
      </x:c>
      <x:c r="G10" s="19" t="str">
        <x:v>微距</x:v>
      </x:c>
      <x:c r="H10" s="19" t="str">
        <x:v>2.7mm厚度、卡尺或食品尺、批次卡</x:v>
      </x:c>
      <x:c r="I10" s="19" t="str">
        <x:v>单片侧面，工具刻度可读</x:v>
      </x:c>
      <x:c r="J10" s="19" t="str">
        <x:v>前处理证据</x:v>
      </x:c>
      <x:c r="K10" s="19" t="str">
        <x:v>横版</x:v>
      </x:c>
      <x:c r="L10" s="19" t="str">
        <x:v>1600×1000</x:v>
      </x:c>
      <x:c r="M10" s="19" t="str">
        <x:v>不出现危险操作</x:v>
      </x:c>
      <x:c r="N10" s="19" t="str">
        <x:v>待拍摄/生成</x:v>
      </x:c>
      <x:c r="O10" s="19" t="str">
        <x:v>客户实拍或AI生成</x:v>
      </x:c>
      <x:c r="P10" s="19" t="str">
        <x:v>P0</x:v>
      </x:c>
      <x:c r="Q10" s="19" t="str">
        <x:v>05-场景素材库/01-菜品品质/02-前处理/Q-IMG-006_牛肉切片厚度.jpg</x:v>
      </x:c>
    </x:row>
    <x:row r="11">
      <x:c r="A11" s="17" t="str">
        <x:v>Q-IMG-007</x:v>
      </x:c>
      <x:c r="B11" s="17" t="str">
        <x:v>菜品品质</x:v>
      </x:c>
      <x:c r="C11" s="17" t="str">
        <x:v>收货</x:v>
      </x:c>
      <x:c r="D11" s="17" t="str">
        <x:v>店长/收货</x:v>
      </x:c>
      <x:c r="E11" s="19" t="str">
        <x:v>牛肉按压回弹检查</x:v>
      </x:c>
      <x:c r="F11" s="19" t="str">
        <x:v>异常事件</x:v>
      </x:c>
      <x:c r="G11" s="19" t="str">
        <x:v>动作特写</x:v>
      </x:c>
      <x:c r="H11" s="19" t="str">
        <x:v>戴手套手指按压、回弹状态、批次卡</x:v>
      </x:c>
      <x:c r="I11" s="19" t="str">
        <x:v>手部与肉片近景</x:v>
      </x:c>
      <x:c r="J11" s="19" t="str">
        <x:v>感官评分</x:v>
      </x:c>
      <x:c r="K11" s="19" t="str">
        <x:v>竖版</x:v>
      </x:c>
      <x:c r="L11" s="19" t="str">
        <x:v>1080×1440</x:v>
      </x:c>
      <x:c r="M11" s="19" t="str">
        <x:v>食品安全手套、真实操作</x:v>
      </x:c>
      <x:c r="N11" s="19" t="str">
        <x:v>待拍摄/生成</x:v>
      </x:c>
      <x:c r="O11" s="19" t="str">
        <x:v>客户实拍优先</x:v>
      </x:c>
      <x:c r="P11" s="19" t="str">
        <x:v>P1</x:v>
      </x:c>
      <x:c r="Q11" s="19" t="str">
        <x:v>05-场景素材库/01-菜品品质/01-收货/Q-IMG-007_牛肉弹性检查.jpg</x:v>
      </x:c>
    </x:row>
    <x:row r="12">
      <x:c r="A12" s="17" t="str">
        <x:v>Q-IMG-008</x:v>
      </x:c>
      <x:c r="B12" s="17" t="str">
        <x:v>菜品品质</x:v>
      </x:c>
      <x:c r="C12" s="17" t="str">
        <x:v>收货</x:v>
      </x:c>
      <x:c r="D12" s="17" t="str">
        <x:v>店长/收货</x:v>
      </x:c>
      <x:c r="E12" s="19" t="str">
        <x:v>温度枪检测牛肉中心温度</x:v>
      </x:c>
      <x:c r="F12" s="19" t="str">
        <x:v>异常事件</x:v>
      </x:c>
      <x:c r="G12" s="19" t="str">
        <x:v>动作特写</x:v>
      </x:c>
      <x:c r="H12" s="19" t="str">
        <x:v>温度显示4.8°C、牛肉包装、批次卡</x:v>
      </x:c>
      <x:c r="I12" s="19" t="str">
        <x:v>温度屏可读但不过度特写</x:v>
      </x:c>
      <x:c r="J12" s="19" t="str">
        <x:v>温度异常</x:v>
      </x:c>
      <x:c r="K12" s="19" t="str">
        <x:v>竖版</x:v>
      </x:c>
      <x:c r="L12" s="19" t="str">
        <x:v>1080×1440</x:v>
      </x:c>
      <x:c r="M12" s="19" t="str">
        <x:v>冷藏收货区</x:v>
      </x:c>
      <x:c r="N12" s="19" t="str">
        <x:v>待拍摄/生成</x:v>
      </x:c>
      <x:c r="O12" s="19" t="str">
        <x:v>AI生成可先用于Demo</x:v>
      </x:c>
      <x:c r="P12" s="19" t="str">
        <x:v>P0</x:v>
      </x:c>
      <x:c r="Q12" s="19" t="str">
        <x:v>05-场景素材库/01-菜品品质/01-收货/Q-IMG-008_牛肉到货温度.jpg</x:v>
      </x:c>
    </x:row>
    <x:row r="13">
      <x:c r="A13" s="17" t="str">
        <x:v>Q-IMG-009</x:v>
      </x:c>
      <x:c r="B13" s="17" t="str">
        <x:v>菜品品质</x:v>
      </x:c>
      <x:c r="C13" s="17" t="str">
        <x:v>前处理</x:v>
      </x:c>
      <x:c r="D13" s="17" t="str">
        <x:v>后厨小工</x:v>
      </x:c>
      <x:c r="E13" s="19" t="str">
        <x:v>小炒黄牛肉单份配料托盘</x:v>
      </x:c>
      <x:c r="F13" s="19" t="str">
        <x:v>标准</x:v>
      </x:c>
      <x:c r="G13" s="19" t="str">
        <x:v>俯拍</x:v>
      </x:c>
      <x:c r="H13" s="19" t="str">
        <x:v>牛肉250g、两种椒、芹菜、蒜，电子秤显示252g</x:v>
      </x:c>
      <x:c r="I13" s="19" t="str">
        <x:v>分格不锈钢料盒，批次卡在侧</x:v>
      </x:c>
      <x:c r="J13" s="19" t="str">
        <x:v>配料齐套</x:v>
      </x:c>
      <x:c r="K13" s="19" t="str">
        <x:v>横版</x:v>
      </x:c>
      <x:c r="L13" s="19" t="str">
        <x:v>1600×1000</x:v>
      </x:c>
      <x:c r="M13" s="19" t="str">
        <x:v>干净、克制、操作台真实</x:v>
      </x:c>
      <x:c r="N13" s="19" t="str">
        <x:v>待拍摄/生成</x:v>
      </x:c>
      <x:c r="O13" s="19" t="str">
        <x:v>AI生成可先用于Demo</x:v>
      </x:c>
      <x:c r="P13" s="19" t="str">
        <x:v>P0</x:v>
      </x:c>
      <x:c r="Q13" s="19" t="str">
        <x:v>05-场景素材库/01-菜品品质/02-前处理/Q-IMG-009_黄牛肉单份配料.jpg</x:v>
      </x:c>
    </x:row>
    <x:row r="14">
      <x:c r="A14" s="17" t="str">
        <x:v>Q-IMG-010</x:v>
      </x:c>
      <x:c r="B14" s="17" t="str">
        <x:v>菜品品质</x:v>
      </x:c>
      <x:c r="C14" s="17" t="str">
        <x:v>前处理</x:v>
      </x:c>
      <x:c r="D14" s="17" t="str">
        <x:v>后厨小工</x:v>
      </x:c>
      <x:c r="E14" s="19" t="str">
        <x:v>回温计时记录</x:v>
      </x:c>
      <x:c r="F14" s="19" t="str">
        <x:v>异常事件</x:v>
      </x:c>
      <x:c r="G14" s="19" t="str">
        <x:v>动作特写</x:v>
      </x:c>
      <x:c r="H14" s="19" t="str">
        <x:v>计时38分钟、备菜批次、环境温度</x:v>
      </x:c>
      <x:c r="I14" s="19" t="str">
        <x:v>手机计时器与料盘同框</x:v>
      </x:c>
      <x:c r="J14" s="19" t="str">
        <x:v>时间偏差</x:v>
      </x:c>
      <x:c r="K14" s="19" t="str">
        <x:v>竖版</x:v>
      </x:c>
      <x:c r="L14" s="19" t="str">
        <x:v>1080×1440</x:v>
      </x:c>
      <x:c r="M14" s="19" t="str">
        <x:v>真实手机但无品牌UI</x:v>
      </x:c>
      <x:c r="N14" s="19" t="str">
        <x:v>待拍摄/生成</x:v>
      </x:c>
      <x:c r="O14" s="19" t="str">
        <x:v>AI生成或Demo手机界面</x:v>
      </x:c>
      <x:c r="P14" s="19" t="str">
        <x:v>P1</x:v>
      </x:c>
      <x:c r="Q14" s="19" t="str">
        <x:v>05-场景素材库/01-菜品品质/02-前处理/Q-IMG-010_牛肉回温超时.jpg</x:v>
      </x:c>
    </x:row>
    <x:row r="15">
      <x:c r="A15" s="17" t="str">
        <x:v>Q-IMG-011</x:v>
      </x:c>
      <x:c r="B15" s="17" t="str">
        <x:v>菜品品质</x:v>
      </x:c>
      <x:c r="C15" s="17" t="str">
        <x:v>炒菜机</x:v>
      </x:c>
      <x:c r="D15" s="17" t="str">
        <x:v>炒菜机操作员</x:v>
      </x:c>
      <x:c r="E15" s="19" t="str">
        <x:v>炒菜机与操作工全景</x:v>
      </x:c>
      <x:c r="F15" s="19" t="str">
        <x:v>标准</x:v>
      </x:c>
      <x:c r="G15" s="19" t="str">
        <x:v>环境照</x:v>
      </x:c>
      <x:c r="H15" s="19" t="str">
        <x:v>机器、操作位、料盒、操作员</x:v>
      </x:c>
      <x:c r="I15" s="19" t="str">
        <x:v>三分构图，操作员侧身不露脸</x:v>
      </x:c>
      <x:c r="J15" s="19" t="str">
        <x:v>场景建立</x:v>
      </x:c>
      <x:c r="K15" s="19" t="str">
        <x:v>横版</x:v>
      </x:c>
      <x:c r="L15" s="19" t="str">
        <x:v>1600×1000</x:v>
      </x:c>
      <x:c r="M15" s="19" t="str">
        <x:v>现代中式快餐后厨</x:v>
      </x:c>
      <x:c r="N15" s="19" t="str">
        <x:v>待客户提供</x:v>
      </x:c>
      <x:c r="O15" s="19" t="str">
        <x:v>客户设备实拍最可信</x:v>
      </x:c>
      <x:c r="P15" s="19" t="str">
        <x:v>P0</x:v>
      </x:c>
      <x:c r="Q15" s="19" t="str">
        <x:v>05-场景素材库/01-菜品品质/03-炒菜机/Q-IMG-011_炒菜机操作全景.jpg</x:v>
      </x:c>
    </x:row>
    <x:row r="16">
      <x:c r="A16" s="17" t="str">
        <x:v>Q-IMG-012</x:v>
      </x:c>
      <x:c r="B16" s="17" t="str">
        <x:v>菜品品质</x:v>
      </x:c>
      <x:c r="C16" s="17" t="str">
        <x:v>炒菜机</x:v>
      </x:c>
      <x:c r="D16" s="17" t="str">
        <x:v>炒菜机操作员</x:v>
      </x:c>
      <x:c r="E16" s="19" t="str">
        <x:v>机器菜谱屏R2.3</x:v>
      </x:c>
      <x:c r="F16" s="19" t="str">
        <x:v>标准</x:v>
      </x:c>
      <x:c r="G16" s="19" t="str">
        <x:v>屏幕特写</x:v>
      </x:c>
      <x:c r="H16" s="19" t="str">
        <x:v>小炒黄牛肉、R2.3、食材与调料克重</x:v>
      </x:c>
      <x:c r="I16" s="19" t="str">
        <x:v>正面拍摄，避免反光</x:v>
      </x:c>
      <x:c r="J16" s="19" t="str">
        <x:v>排除版本问题</x:v>
      </x:c>
      <x:c r="K16" s="19" t="str">
        <x:v>横版</x:v>
      </x:c>
      <x:c r="L16" s="19" t="str">
        <x:v>1600×1000</x:v>
      </x:c>
      <x:c r="M16" s="19" t="str">
        <x:v>优先使用真实机器界面</x:v>
      </x:c>
      <x:c r="N16" s="19" t="str">
        <x:v>待客户提供</x:v>
      </x:c>
      <x:c r="O16" s="19" t="str">
        <x:v>需要客户补真实屏幕</x:v>
      </x:c>
      <x:c r="P16" s="19" t="str">
        <x:v>P0</x:v>
      </x:c>
      <x:c r="Q16" s="19" t="str">
        <x:v>05-场景素材库/01-菜品品质/03-炒菜机/Q-IMG-012_黄牛肉菜谱R2.3.jpg</x:v>
      </x:c>
    </x:row>
    <x:row r="17">
      <x:c r="A17" s="17" t="str">
        <x:v>Q-IMG-013</x:v>
      </x:c>
      <x:c r="B17" s="17" t="str">
        <x:v>菜品品质</x:v>
      </x:c>
      <x:c r="C17" s="17" t="str">
        <x:v>炒菜机</x:v>
      </x:c>
      <x:c r="D17" s="17" t="str">
        <x:v>炒菜机操作员</x:v>
      </x:c>
      <x:c r="E17" s="19" t="str">
        <x:v>食材称重屏与料盒</x:v>
      </x:c>
      <x:c r="F17" s="19" t="str">
        <x:v>标准</x:v>
      </x:c>
      <x:c r="G17" s="19" t="str">
        <x:v>动作特写</x:v>
      </x:c>
      <x:c r="H17" s="19" t="str">
        <x:v>目标560g、实际562g、料盒</x:v>
      </x:c>
      <x:c r="I17" s="19" t="str">
        <x:v>屏幕和配料同框</x:v>
      </x:c>
      <x:c r="J17" s="19" t="str">
        <x:v>人工称重偏差</x:v>
      </x:c>
      <x:c r="K17" s="19" t="str">
        <x:v>横版</x:v>
      </x:c>
      <x:c r="L17" s="19" t="str">
        <x:v>1600×1000</x:v>
      </x:c>
      <x:c r="M17" s="19" t="str">
        <x:v>真实秤屏或模拟设备屏</x:v>
      </x:c>
      <x:c r="N17" s="19" t="str">
        <x:v>待拍摄/生成</x:v>
      </x:c>
      <x:c r="O17" s="19" t="str">
        <x:v>AI生成可先用于Demo</x:v>
      </x:c>
      <x:c r="P17" s="19" t="str">
        <x:v>P0</x:v>
      </x:c>
      <x:c r="Q17" s="19" t="str">
        <x:v>05-场景素材库/01-菜品品质/03-炒菜机/Q-IMG-013_食材称重562g.jpg</x:v>
      </x:c>
    </x:row>
    <x:row r="18">
      <x:c r="A18" s="17" t="str">
        <x:v>Q-IMG-014</x:v>
      </x:c>
      <x:c r="B18" s="17" t="str">
        <x:v>菜品品质</x:v>
      </x:c>
      <x:c r="C18" s="17" t="str">
        <x:v>炒菜机</x:v>
      </x:c>
      <x:c r="D18" s="17" t="str">
        <x:v>炒菜机操作员</x:v>
      </x:c>
      <x:c r="E18" s="19" t="str">
        <x:v>调料投放执行记录</x:v>
      </x:c>
      <x:c r="F18" s="19" t="str">
        <x:v>标准</x:v>
      </x:c>
      <x:c r="G18" s="19" t="str">
        <x:v>设备特写</x:v>
      </x:c>
      <x:c r="H18" s="19" t="str">
        <x:v>目标133g、实际133.2g或投放日志</x:v>
      </x:c>
      <x:c r="I18" s="19" t="str">
        <x:v>喷头/管路与记录屏二选一</x:v>
      </x:c>
      <x:c r="J18" s="19" t="str">
        <x:v>排除调料问题</x:v>
      </x:c>
      <x:c r="K18" s="19" t="str">
        <x:v>横版</x:v>
      </x:c>
      <x:c r="L18" s="19" t="str">
        <x:v>1600×1000</x:v>
      </x:c>
      <x:c r="M18" s="19" t="str">
        <x:v>不伪造具体品牌</x:v>
      </x:c>
      <x:c r="N18" s="19" t="str">
        <x:v>待拍摄/生成</x:v>
      </x:c>
      <x:c r="O18" s="19" t="str">
        <x:v>客户实拍优先，日志可由系统生成</x:v>
      </x:c>
      <x:c r="P18" s="19" t="str">
        <x:v>P0</x:v>
      </x:c>
      <x:c r="Q18" s="19" t="str">
        <x:v>05-场景素材库/01-菜品品质/03-炒菜机/Q-IMG-014_调料投放记录.jpg</x:v>
      </x:c>
    </x:row>
    <x:row r="19">
      <x:c r="A19" s="17" t="str">
        <x:v>Q-IMG-015</x:v>
      </x:c>
      <x:c r="B19" s="17" t="str">
        <x:v>菜品品质</x:v>
      </x:c>
      <x:c r="C19" s="17" t="str">
        <x:v>出餐</x:v>
      </x:c>
      <x:c r="D19" s="17" t="str">
        <x:v>店长</x:v>
      </x:c>
      <x:c r="E19" s="19" t="str">
        <x:v>小炒黄牛肉标准成品</x:v>
      </x:c>
      <x:c r="F19" s="19" t="str">
        <x:v>标准</x:v>
      </x:c>
      <x:c r="G19" s="19" t="str">
        <x:v>菜品英雄照</x:v>
      </x:c>
      <x:c r="H19" s="19" t="str">
        <x:v>牛肉嫩润、椒色鲜亮、汁液适中</x:v>
      </x:c>
      <x:c r="I19" s="19" t="str">
        <x:v>45度近景，红白格桌布或门店统一背景</x:v>
      </x:c>
      <x:c r="J19" s="19" t="str">
        <x:v>标准样板</x:v>
      </x:c>
      <x:c r="K19" s="19" t="str">
        <x:v>横版</x:v>
      </x:c>
      <x:c r="L19" s="19" t="str">
        <x:v>1600×1000</x:v>
      </x:c>
      <x:c r="M19" s="19" t="str">
        <x:v>自然餐饮摄影，不做广告大片</x:v>
      </x:c>
      <x:c r="N19" s="19" t="str">
        <x:v>待拍摄/生成</x:v>
      </x:c>
      <x:c r="O19" s="19" t="str">
        <x:v>AI生成可先用于Demo</x:v>
      </x:c>
      <x:c r="P19" s="19" t="str">
        <x:v>P0</x:v>
      </x:c>
      <x:c r="Q19" s="19" t="str">
        <x:v>05-场景素材库/01-菜品品质/04-成品/Q-IMG-015_黄牛肉标准成品.jpg</x:v>
      </x:c>
    </x:row>
    <x:row r="20">
      <x:c r="A20" s="17" t="str">
        <x:v>Q-IMG-016</x:v>
      </x:c>
      <x:c r="B20" s="17" t="str">
        <x:v>菜品品质</x:v>
      </x:c>
      <x:c r="C20" s="17" t="str">
        <x:v>出餐</x:v>
      </x:c>
      <x:c r="D20" s="17" t="str">
        <x:v>店长</x:v>
      </x:c>
      <x:c r="E20" s="19" t="str">
        <x:v>小炒黄牛肉偏柴成品</x:v>
      </x:c>
      <x:c r="F20" s="19" t="str">
        <x:v>异常</x:v>
      </x:c>
      <x:c r="G20" s="19" t="str">
        <x:v>菜品证据照</x:v>
      </x:c>
      <x:c r="H20" s="19" t="str">
        <x:v>牛肉偏干、边缘略卷、但仍是可食用门店实物</x:v>
      </x:c>
      <x:c r="I20" s="19" t="str">
        <x:v>与标准图同角度同器皿</x:v>
      </x:c>
      <x:c r="J20" s="19" t="str">
        <x:v>异常样板</x:v>
      </x:c>
      <x:c r="K20" s="19" t="str">
        <x:v>横版</x:v>
      </x:c>
      <x:c r="L20" s="19" t="str">
        <x:v>1600×1000</x:v>
      </x:c>
      <x:c r="M20" s="19" t="str">
        <x:v>差异克制，不能像变质食品</x:v>
      </x:c>
      <x:c r="N20" s="19" t="str">
        <x:v>待拍摄/生成</x:v>
      </x:c>
      <x:c r="O20" s="19" t="str">
        <x:v>AI生成可先用于Demo</x:v>
      </x:c>
      <x:c r="P20" s="19" t="str">
        <x:v>P0</x:v>
      </x:c>
      <x:c r="Q20" s="19" t="str">
        <x:v>05-场景素材库/01-菜品品质/04-成品/Q-IMG-016_黄牛肉偏柴成品.jpg</x:v>
      </x:c>
    </x:row>
    <x:row r="21">
      <x:c r="A21" s="17" t="str">
        <x:v>Q-IMG-017</x:v>
      </x:c>
      <x:c r="B21" s="17" t="str">
        <x:v>菜品品质</x:v>
      </x:c>
      <x:c r="C21" s="17" t="str">
        <x:v>复验</x:v>
      </x:c>
      <x:c r="D21" s="17" t="str">
        <x:v>总部品控</x:v>
      </x:c>
      <x:c r="E21" s="19" t="str">
        <x:v>标准与异常成品对比</x:v>
      </x:c>
      <x:c r="F21" s="19" t="str">
        <x:v>对比</x:v>
      </x:c>
      <x:c r="G21" s="19" t="str">
        <x:v>双图对照</x:v>
      </x:c>
      <x:c r="H21" s="19" t="str">
        <x:v>同盘、同角度；标准/异常标签</x:v>
      </x:c>
      <x:c r="I21" s="19" t="str">
        <x:v>左右并排，保留差异标注空间</x:v>
      </x:c>
      <x:c r="J21" s="19" t="str">
        <x:v>事件复盘</x:v>
      </x:c>
      <x:c r="K21" s="19" t="str">
        <x:v>横版</x:v>
      </x:c>
      <x:c r="L21" s="19" t="str">
        <x:v>1800×900</x:v>
      </x:c>
      <x:c r="M21" s="19" t="str">
        <x:v>由Q-IMG-015和016组成</x:v>
      </x:c>
      <x:c r="N21" s="19" t="str">
        <x:v>待拍摄/生成</x:v>
      </x:c>
      <x:c r="O21" s="19" t="str">
        <x:v>页面中组合，无需单独拍</x:v>
      </x:c>
      <x:c r="P21" s="19" t="str">
        <x:v>P0</x:v>
      </x:c>
      <x:c r="Q21" s="19" t="str">
        <x:v>05-场景素材库/01-菜品品质/04-成品/Q-IMG-017_黄牛肉标准异常对比.jpg</x:v>
      </x:c>
    </x:row>
    <x:row r="22">
      <x:c r="A22" s="17" t="str">
        <x:v>Q-IMG-018</x:v>
      </x:c>
      <x:c r="B22" s="17" t="str">
        <x:v>菜品品质</x:v>
      </x:c>
      <x:c r="C22" s="17" t="str">
        <x:v>收货</x:v>
      </x:c>
      <x:c r="D22" s="17" t="str">
        <x:v>店长/收货</x:v>
      </x:c>
      <x:c r="E22" s="19" t="str">
        <x:v>酸包菜感官与pH抽检</x:v>
      </x:c>
      <x:c r="F22" s="19" t="str">
        <x:v>异常事件</x:v>
      </x:c>
      <x:c r="G22" s="19" t="str">
        <x:v>动作特写</x:v>
      </x:c>
      <x:c r="H22" s="19" t="str">
        <x:v>取样碟、pH试纸4.1、批次标签</x:v>
      </x:c>
      <x:c r="I22" s="19" t="str">
        <x:v>俯拍，读数和样品同框</x:v>
      </x:c>
      <x:c r="J22" s="19" t="str">
        <x:v>供应商复验</x:v>
      </x:c>
      <x:c r="K22" s="19" t="str">
        <x:v>横版</x:v>
      </x:c>
      <x:c r="L22" s="19" t="str">
        <x:v>1600×1000</x:v>
      </x:c>
      <x:c r="M22" s="19" t="str">
        <x:v>食品实验感但保持门店真实</x:v>
      </x:c>
      <x:c r="N22" s="19" t="str">
        <x:v>待拍摄/生成</x:v>
      </x:c>
      <x:c r="O22" s="19" t="str">
        <x:v>AI生成可先用于Demo</x:v>
      </x:c>
      <x:c r="P22" s="19" t="str">
        <x:v>P1</x:v>
      </x:c>
      <x:c r="Q22" s="19" t="str">
        <x:v>05-场景素材库/01-菜品品质/01-收货/Q-IMG-018_酸包菜酸度抽检.jpg</x:v>
      </x:c>
    </x:row>
    <x:row r="23">
      <x:c r="A23" s="17" t="str">
        <x:v>Q-IMG-019</x:v>
      </x:c>
      <x:c r="B23" s="17" t="str">
        <x:v>菜品品质</x:v>
      </x:c>
      <x:c r="C23" s="17" t="str">
        <x:v>前处理</x:v>
      </x:c>
      <x:c r="D23" s="17" t="str">
        <x:v>后厨小工</x:v>
      </x:c>
      <x:c r="E23" s="19" t="str">
        <x:v>粉皮浸泡标准与粘连异常</x:v>
      </x:c>
      <x:c r="F23" s="19" t="str">
        <x:v>对比</x:v>
      </x:c>
      <x:c r="G23" s="19" t="str">
        <x:v>双容器俯拍</x:v>
      </x:c>
      <x:c r="H23" s="19" t="str">
        <x:v>标准小批量、异常大批量粘连、水温/计时卡</x:v>
      </x:c>
      <x:c r="I23" s="19" t="str">
        <x:v>两个不锈钢盆左右对照</x:v>
      </x:c>
      <x:c r="J23" s="19" t="str">
        <x:v>前处理SOP</x:v>
      </x:c>
      <x:c r="K23" s="19" t="str">
        <x:v>横版</x:v>
      </x:c>
      <x:c r="L23" s="19" t="str">
        <x:v>1800×900</x:v>
      </x:c>
      <x:c r="M23" s="19" t="str">
        <x:v>真实后厨自然光</x:v>
      </x:c>
      <x:c r="N23" s="19" t="str">
        <x:v>待拍摄/生成</x:v>
      </x:c>
      <x:c r="O23" s="19" t="str">
        <x:v>AI生成可先用于Demo</x:v>
      </x:c>
      <x:c r="P23" s="19" t="str">
        <x:v>P1</x:v>
      </x:c>
      <x:c r="Q23" s="19" t="str">
        <x:v>05-场景素材库/01-菜品品质/02-前处理/Q-IMG-019_粉皮浸泡对比.jpg</x:v>
      </x:c>
    </x:row>
    <x:row r="24">
      <x:c r="A24" s="17" t="str">
        <x:v>S-IMG-001</x:v>
      </x:c>
      <x:c r="B24" s="17" t="str">
        <x:v>精准备货</x:v>
      </x:c>
      <x:c r="C24" s="17" t="str">
        <x:v>盘点</x:v>
      </x:c>
      <x:c r="D24" s="17" t="str">
        <x:v>店长/收货</x:v>
      </x:c>
      <x:c r="E24" s="19" t="str">
        <x:v>门店冷藏与干货库存全景</x:v>
      </x:c>
      <x:c r="F24" s="19" t="str">
        <x:v>标准</x:v>
      </x:c>
      <x:c r="G24" s="19" t="str">
        <x:v>环境照</x:v>
      </x:c>
      <x:c r="H24" s="19" t="str">
        <x:v>货架分区、标签、周转筐</x:v>
      </x:c>
      <x:c r="I24" s="19" t="str">
        <x:v>正面广角但避免畸变</x:v>
      </x:c>
      <x:c r="J24" s="19" t="str">
        <x:v>库存场景建立</x:v>
      </x:c>
      <x:c r="K24" s="19" t="str">
        <x:v>横版</x:v>
      </x:c>
      <x:c r="L24" s="19" t="str">
        <x:v>1600×1000</x:v>
      </x:c>
      <x:c r="M24" s="19" t="str">
        <x:v>整洁但不是样板间</x:v>
      </x:c>
      <x:c r="N24" s="19" t="str">
        <x:v>待客户提供</x:v>
      </x:c>
      <x:c r="O24" s="19" t="str">
        <x:v>客户实拍最可信</x:v>
      </x:c>
      <x:c r="P24" s="19" t="str">
        <x:v>P0</x:v>
      </x:c>
      <x:c r="Q24" s="19" t="str">
        <x:v>05-场景素材库/02-精准备货/01-库存/S-IMG-001_门店库存全景.jpg</x:v>
      </x:c>
    </x:row>
    <x:row r="25">
      <x:c r="A25" s="17" t="str">
        <x:v>S-IMG-002</x:v>
      </x:c>
      <x:c r="B25" s="17" t="str">
        <x:v>精准备货</x:v>
      </x:c>
      <x:c r="C25" s="17" t="str">
        <x:v>盘点</x:v>
      </x:c>
      <x:c r="D25" s="17" t="str">
        <x:v>店长/收货</x:v>
      </x:c>
      <x:c r="E25" s="19" t="str">
        <x:v>青椒库存筐与称重</x:v>
      </x:c>
      <x:c r="F25" s="19" t="str">
        <x:v>标准</x:v>
      </x:c>
      <x:c r="G25" s="19" t="str">
        <x:v>动作特写</x:v>
      </x:c>
      <x:c r="H25" s="19" t="str">
        <x:v>青椒、电子秤、库存标签、净重</x:v>
      </x:c>
      <x:c r="I25" s="19" t="str">
        <x:v>俯拍偏侧，秤屏可读</x:v>
      </x:c>
      <x:c r="J25" s="19" t="str">
        <x:v>库存快照</x:v>
      </x:c>
      <x:c r="K25" s="19" t="str">
        <x:v>横版</x:v>
      </x:c>
      <x:c r="L25" s="19" t="str">
        <x:v>1600×1000</x:v>
      </x:c>
      <x:c r="M25" s="19" t="str">
        <x:v>与收货图保持同一门店风格</x:v>
      </x:c>
      <x:c r="N25" s="19" t="str">
        <x:v>待拍摄/生成</x:v>
      </x:c>
      <x:c r="O25" s="19" t="str">
        <x:v>客户实拍优先</x:v>
      </x:c>
      <x:c r="P25" s="19" t="str">
        <x:v>P0</x:v>
      </x:c>
      <x:c r="Q25" s="19" t="str">
        <x:v>05-场景素材库/02-精准备货/01-库存/S-IMG-002_青椒库存称重.jpg</x:v>
      </x:c>
    </x:row>
    <x:row r="26">
      <x:c r="A26" s="17" t="str">
        <x:v>S-IMG-003</x:v>
      </x:c>
      <x:c r="B26" s="17" t="str">
        <x:v>精准备货</x:v>
      </x:c>
      <x:c r="C26" s="17" t="str">
        <x:v>损耗</x:v>
      </x:c>
      <x:c r="D26" s="17" t="str">
        <x:v>后厨小工</x:v>
      </x:c>
      <x:c r="E26" s="19" t="str">
        <x:v>青椒报损称重</x:v>
      </x:c>
      <x:c r="F26" s="19" t="str">
        <x:v>异常</x:v>
      </x:c>
      <x:c r="G26" s="19" t="str">
        <x:v>证据照</x:v>
      </x:c>
      <x:c r="H26" s="19" t="str">
        <x:v>可识别的边角/损耗、重量、原因卡</x:v>
      </x:c>
      <x:c r="I26" s="19" t="str">
        <x:v>避免夸张浪费，净重可读</x:v>
      </x:c>
      <x:c r="J26" s="19" t="str">
        <x:v>损耗证据</x:v>
      </x:c>
      <x:c r="K26" s="19" t="str">
        <x:v>横版</x:v>
      </x:c>
      <x:c r="L26" s="19" t="str">
        <x:v>1600×1000</x:v>
      </x:c>
      <x:c r="M26" s="19" t="str">
        <x:v>操作台、带手套</x:v>
      </x:c>
      <x:c r="N26" s="19" t="str">
        <x:v>待拍摄/生成</x:v>
      </x:c>
      <x:c r="O26" s="19" t="str">
        <x:v>AI生成可先用于Demo</x:v>
      </x:c>
      <x:c r="P26" s="19" t="str">
        <x:v>P1</x:v>
      </x:c>
      <x:c r="Q26" s="19" t="str">
        <x:v>05-场景素材库/02-精准备货/01-库存/S-IMG-003_青椒报损称重.jpg</x:v>
      </x:c>
    </x:row>
    <x:row r="27">
      <x:c r="A27" s="17" t="str">
        <x:v>S-IMG-004</x:v>
      </x:c>
      <x:c r="B27" s="17" t="str">
        <x:v>精准备货</x:v>
      </x:c>
      <x:c r="C27" s="17" t="str">
        <x:v>采购</x:v>
      </x:c>
      <x:c r="D27" s="17" t="str">
        <x:v>采购</x:v>
      </x:c>
      <x:c r="E27" s="19" t="str">
        <x:v>青椒采购单与42kg分配表</x:v>
      </x:c>
      <x:c r="F27" s="19" t="str">
        <x:v>标准</x:v>
      </x:c>
      <x:c r="G27" s="19" t="str">
        <x:v>单据特写</x:v>
      </x:c>
      <x:c r="H27" s="19" t="str">
        <x:v>采购日期、总量42kg、8店分配、审批人</x:v>
      </x:c>
      <x:c r="I27" s="19" t="str">
        <x:v>纸质单据与手机审批同框</x:v>
      </x:c>
      <x:c r="J27" s="19" t="str">
        <x:v>采购执行</x:v>
      </x:c>
      <x:c r="K27" s="19" t="str">
        <x:v>横版</x:v>
      </x:c>
      <x:c r="L27" s="19" t="str">
        <x:v>1600×1000</x:v>
      </x:c>
      <x:c r="M27" s="19" t="str">
        <x:v>供应商与电话打码</x:v>
      </x:c>
      <x:c r="N27" s="19" t="str">
        <x:v>待拍摄/生成</x:v>
      </x:c>
      <x:c r="O27" s="19" t="str">
        <x:v>由系统生成单据即可</x:v>
      </x:c>
      <x:c r="P27" s="19" t="str">
        <x:v>P0</x:v>
      </x:c>
      <x:c r="Q27" s="19" t="str">
        <x:v>05-场景素材库/02-精准备货/02-采购/S-IMG-004_青椒采购分配单.jpg</x:v>
      </x:c>
    </x:row>
    <x:row r="28">
      <x:c r="A28" s="17" t="str">
        <x:v>S-IMG-005</x:v>
      </x:c>
      <x:c r="B28" s="17" t="str">
        <x:v>精准备货</x:v>
      </x:c>
      <x:c r="C28" s="17" t="str">
        <x:v>调拨</x:v>
      </x:c>
      <x:c r="D28" s="17" t="str">
        <x:v>店长/收货</x:v>
      </x:c>
      <x:c r="E28" s="19" t="str">
        <x:v>跨店调拨出库</x:v>
      </x:c>
      <x:c r="F28" s="19" t="str">
        <x:v>标准</x:v>
      </x:c>
      <x:c r="G28" s="19" t="str">
        <x:v>纪实照</x:v>
      </x:c>
      <x:c r="H28" s="19" t="str">
        <x:v>封筐、食材、数量、调出/调入店、时间</x:v>
      </x:c>
      <x:c r="I28" s="19" t="str">
        <x:v>周转筐与调拨标签</x:v>
      </x:c>
      <x:c r="J28" s="19" t="str">
        <x:v>调拨证据</x:v>
      </x:c>
      <x:c r="K28" s="19" t="str">
        <x:v>横版</x:v>
      </x:c>
      <x:c r="L28" s="19" t="str">
        <x:v>1600×1000</x:v>
      </x:c>
      <x:c r="M28" s="19" t="str">
        <x:v>真实门店后场</x:v>
      </x:c>
      <x:c r="N28" s="19" t="str">
        <x:v>待拍摄/生成</x:v>
      </x:c>
      <x:c r="O28" s="19" t="str">
        <x:v>客户实拍优先</x:v>
      </x:c>
      <x:c r="P28" s="19" t="str">
        <x:v>P1</x:v>
      </x:c>
      <x:c r="Q28" s="19" t="str">
        <x:v>05-场景素材库/02-精准备货/03-调拨/S-IMG-005_跨店调拨出库.jpg</x:v>
      </x:c>
    </x:row>
    <x:row r="29">
      <x:c r="A29" s="17" t="str">
        <x:v>S-IMG-006</x:v>
      </x:c>
      <x:c r="B29" s="17" t="str">
        <x:v>精准备货</x:v>
      </x:c>
      <x:c r="C29" s="17" t="str">
        <x:v>收货</x:v>
      </x:c>
      <x:c r="D29" s="17" t="str">
        <x:v>店长/收货</x:v>
      </x:c>
      <x:c r="E29" s="19" t="str">
        <x:v>采购到货确认</x:v>
      </x:c>
      <x:c r="F29" s="19" t="str">
        <x:v>标准</x:v>
      </x:c>
      <x:c r="G29" s="19" t="str">
        <x:v>纪实照</x:v>
      </x:c>
      <x:c r="H29" s="19" t="str">
        <x:v>到货筐、数量、供应商标签、收货人</x:v>
      </x:c>
      <x:c r="I29" s="19" t="str">
        <x:v>门店后场45度</x:v>
      </x:c>
      <x:c r="J29" s="19" t="str">
        <x:v>到货闭环</x:v>
      </x:c>
      <x:c r="K29" s="19" t="str">
        <x:v>横版</x:v>
      </x:c>
      <x:c r="L29" s="19" t="str">
        <x:v>1600×1000</x:v>
      </x:c>
      <x:c r="M29" s="19" t="str">
        <x:v>与S-IMG-004同一批次</x:v>
      </x:c>
      <x:c r="N29" s="19" t="str">
        <x:v>待拍摄/生成</x:v>
      </x:c>
      <x:c r="O29" s="19" t="str">
        <x:v>AI生成可先用于Demo</x:v>
      </x:c>
      <x:c r="P29" s="19" t="str">
        <x:v>P1</x:v>
      </x:c>
      <x:c r="Q29" s="19" t="str">
        <x:v>05-场景素材库/02-精准备货/02-采购/S-IMG-006_青椒到货确认.jpg</x:v>
      </x:c>
    </x:row>
    <x:row r="30">
      <x:c r="A30" s="17" t="str">
        <x:v>M-IMG-001</x:v>
      </x:c>
      <x:c r="B30" s="17" t="str">
        <x:v>真实毛利</x:v>
      </x:c>
      <x:c r="C30" s="17" t="str">
        <x:v>采购价</x:v>
      </x:c>
      <x:c r="D30" s="17" t="str">
        <x:v>采购</x:v>
      </x:c>
      <x:c r="E30" s="19" t="str">
        <x:v>脱敏采购发票或价目表</x:v>
      </x:c>
      <x:c r="F30" s="19" t="str">
        <x:v>标准</x:v>
      </x:c>
      <x:c r="G30" s="19" t="str">
        <x:v>单据特写</x:v>
      </x:c>
      <x:c r="H30" s="19" t="str">
        <x:v>食材、规格、单位、含税单价、日期</x:v>
      </x:c>
      <x:c r="I30" s="19" t="str">
        <x:v>正面拍摄，敏感信息打码</x:v>
      </x:c>
      <x:c r="J30" s="19" t="str">
        <x:v>成本证据</x:v>
      </x:c>
      <x:c r="K30" s="19" t="str">
        <x:v>横版</x:v>
      </x:c>
      <x:c r="L30" s="19" t="str">
        <x:v>1600×1000</x:v>
      </x:c>
      <x:c r="M30" s="19" t="str">
        <x:v>真实单据优先</x:v>
      </x:c>
      <x:c r="N30" s="19" t="str">
        <x:v>待客户提供</x:v>
      </x:c>
      <x:c r="O30" s="19" t="str">
        <x:v>客户脱敏提供</x:v>
      </x:c>
      <x:c r="P30" s="19" t="str">
        <x:v>P0</x:v>
      </x:c>
      <x:c r="Q30" s="19" t="str">
        <x:v>05-场景素材库/03-真实毛利/M-IMG-001_采购价单据.jpg</x:v>
      </x:c>
    </x:row>
    <x:row r="31">
      <x:c r="A31" s="17" t="str">
        <x:v>M-IMG-002</x:v>
      </x:c>
      <x:c r="B31" s="17" t="str">
        <x:v>真实毛利</x:v>
      </x:c>
      <x:c r="C31" s="17" t="str">
        <x:v>外卖费用</x:v>
      </x:c>
      <x:c r="D31" s="17" t="str">
        <x:v>店长</x:v>
      </x:c>
      <x:c r="E31" s="19" t="str">
        <x:v>包装盒与成本标签</x:v>
      </x:c>
      <x:c r="F31" s="19" t="str">
        <x:v>标准</x:v>
      </x:c>
      <x:c r="G31" s="19" t="str">
        <x:v>产品照</x:v>
      </x:c>
      <x:c r="H31" s="19" t="str">
        <x:v>餐盒、餐具、袋、单套成本1.2元</x:v>
      </x:c>
      <x:c r="I31" s="19" t="str">
        <x:v>俯拍拆解</x:v>
      </x:c>
      <x:c r="J31" s="19" t="str">
        <x:v>包装成本</x:v>
      </x:c>
      <x:c r="K31" s="19" t="str">
        <x:v>横版</x:v>
      </x:c>
      <x:c r="L31" s="19" t="str">
        <x:v>1600×1000</x:v>
      </x:c>
      <x:c r="M31" s="19" t="str">
        <x:v>白底或门店操作台</x:v>
      </x:c>
      <x:c r="N31" s="19" t="str">
        <x:v>待拍摄/生成</x:v>
      </x:c>
      <x:c r="O31" s="19" t="str">
        <x:v>客户实拍优先</x:v>
      </x:c>
      <x:c r="P31" s="19" t="str">
        <x:v>P1</x:v>
      </x:c>
      <x:c r="Q31" s="19" t="str">
        <x:v>05-场景素材库/03-真实毛利/M-IMG-002_外卖包装成本.jpg</x:v>
      </x:c>
    </x:row>
    <x:row r="32">
      <x:c r="A32" s="17" t="str">
        <x:v>C-IMG-001</x:v>
      </x:c>
      <x:c r="B32" s="17" t="str">
        <x:v>顾客体验</x:v>
      </x:c>
      <x:c r="C32" s="17" t="str">
        <x:v>点单</x:v>
      </x:c>
      <x:c r="D32" s="17" t="str">
        <x:v>服务员</x:v>
      </x:c>
      <x:c r="E32" s="19" t="str">
        <x:v>带辣度标签的门店菜单</x:v>
      </x:c>
      <x:c r="F32" s="19" t="str">
        <x:v>整改后</x:v>
      </x:c>
      <x:c r="G32" s="19" t="str">
        <x:v>环境照</x:v>
      </x:c>
      <x:c r="H32" s="19" t="str">
        <x:v>辣度等级、可选辣度、菜名价格</x:v>
      </x:c>
      <x:c r="I32" s="19" t="str">
        <x:v>菜单局部与手指点选</x:v>
      </x:c>
      <x:c r="J32" s="19" t="str">
        <x:v>整改证据</x:v>
      </x:c>
      <x:c r="K32" s="19" t="str">
        <x:v>竖版</x:v>
      </x:c>
      <x:c r="L32" s="19" t="str">
        <x:v>1080×1440</x:v>
      </x:c>
      <x:c r="M32" s="19" t="str">
        <x:v>延续黑板/纸质菜单感</x:v>
      </x:c>
      <x:c r="N32" s="19" t="str">
        <x:v>待拍摄/生成</x:v>
      </x:c>
      <x:c r="O32" s="19" t="str">
        <x:v>页面和实物均可生成</x:v>
      </x:c>
      <x:c r="P32" s="19" t="str">
        <x:v>P1</x:v>
      </x:c>
      <x:c r="Q32" s="19" t="str">
        <x:v>05-场景素材库/04-顾客体验/C-IMG-001_菜单辣度标签.jpg</x:v>
      </x:c>
    </x:row>
    <x:row r="33">
      <x:c r="A33" s="17" t="str">
        <x:v>C-IMG-002</x:v>
      </x:c>
      <x:c r="B33" s="17" t="str">
        <x:v>顾客体验</x:v>
      </x:c>
      <x:c r="C33" s="17" t="str">
        <x:v>点单</x:v>
      </x:c>
      <x:c r="D33" s="17" t="str">
        <x:v>服务员</x:v>
      </x:c>
      <x:c r="E33" s="19" t="str">
        <x:v>服务员二次确认辣度</x:v>
      </x:c>
      <x:c r="F33" s="19" t="str">
        <x:v>整改后</x:v>
      </x:c>
      <x:c r="G33" s="19" t="str">
        <x:v>纪实照</x:v>
      </x:c>
      <x:c r="H33" s="19" t="str">
        <x:v>服务员、顾客、菜单辣度选项</x:v>
      </x:c>
      <x:c r="I33" s="19" t="str">
        <x:v>侧面中景，不拍清晰人脸</x:v>
      </x:c>
      <x:c r="J33" s="19" t="str">
        <x:v>服务SOP</x:v>
      </x:c>
      <x:c r="K33" s="19" t="str">
        <x:v>横版</x:v>
      </x:c>
      <x:c r="L33" s="19" t="str">
        <x:v>1600×1000</x:v>
      </x:c>
      <x:c r="M33" s="19" t="str">
        <x:v>自然用餐环境</x:v>
      </x:c>
      <x:c r="N33" s="19" t="str">
        <x:v>待拍摄/生成</x:v>
      </x:c>
      <x:c r="O33" s="19" t="str">
        <x:v>AI生成可先用于Demo</x:v>
      </x:c>
      <x:c r="P33" s="19" t="str">
        <x:v>P1</x:v>
      </x:c>
      <x:c r="Q33" s="19" t="str">
        <x:v>05-场景素材库/04-顾客体验/C-IMG-002_辣度二次确认.jpg</x:v>
      </x:c>
    </x:row>
    <x:row r="34">
      <x:c r="A34" s="17" t="str">
        <x:v>D-IMG-001</x:v>
      </x:c>
      <x:c r="B34" s="17" t="str">
        <x:v>外卖经营</x:v>
      </x:c>
      <x:c r="C34" s="17" t="str">
        <x:v>订单</x:v>
      </x:c>
      <x:c r="D34" s="17" t="str">
        <x:v>店长</x:v>
      </x:c>
      <x:c r="E34" s="19" t="str">
        <x:v>脱敏外卖订单小票</x:v>
      </x:c>
      <x:c r="F34" s="19" t="str">
        <x:v>标准</x:v>
      </x:c>
      <x:c r="G34" s="19" t="str">
        <x:v>单据特写</x:v>
      </x:c>
      <x:c r="H34" s="19" t="str">
        <x:v>菜品、原价、折扣、包装、订单时间</x:v>
      </x:c>
      <x:c r="I34" s="19" t="str">
        <x:v>小票与餐盒同框</x:v>
      </x:c>
      <x:c r="J34" s="19" t="str">
        <x:v>单笔贡献</x:v>
      </x:c>
      <x:c r="K34" s="19" t="str">
        <x:v>竖版</x:v>
      </x:c>
      <x:c r="L34" s="19" t="str">
        <x:v>1080×1440</x:v>
      </x:c>
      <x:c r="M34" s="19" t="str">
        <x:v>平台和顾客信息脱敏</x:v>
      </x:c>
      <x:c r="N34" s="19" t="str">
        <x:v>待客户提供</x:v>
      </x:c>
      <x:c r="O34" s="19" t="str">
        <x:v>客户脱敏提供一张即可</x:v>
      </x:c>
      <x:c r="P34" s="19" t="str">
        <x:v>P1</x:v>
      </x:c>
      <x:c r="Q34" s="19" t="str">
        <x:v>05-场景素材库/05-外卖经营/D-IMG-001_外卖订单小票.jpg</x:v>
      </x:c>
    </x:row>
    <x:row r="35">
      <x:c r="A35" s="17" t="str">
        <x:v>T-IMG-001</x:v>
      </x:c>
      <x:c r="B35" s="17" t="str">
        <x:v>任务与复盘</x:v>
      </x:c>
      <x:c r="C35" s="17" t="str">
        <x:v>验收</x:v>
      </x:c>
      <x:c r="D35" s="17" t="str">
        <x:v>店长</x:v>
      </x:c>
      <x:c r="E35" s="19" t="str">
        <x:v>同一任务的执行证据组合</x:v>
      </x:c>
      <x:c r="F35" s="19" t="str">
        <x:v>闭环</x:v>
      </x:c>
      <x:c r="G35" s="19" t="str">
        <x:v>证据拼图</x:v>
      </x:c>
      <x:c r="H35" s="19" t="str">
        <x:v>前/中/后照片、时间、责任人、验收结果</x:v>
      </x:c>
      <x:c r="I35" s="19" t="str">
        <x:v>三联图，留出文字区</x:v>
      </x:c>
      <x:c r="J35" s="19" t="str">
        <x:v>任务闭环</x:v>
      </x:c>
      <x:c r="K35" s="19" t="str">
        <x:v>横版</x:v>
      </x:c>
      <x:c r="L35" s="19" t="str">
        <x:v>1800×1000</x:v>
      </x:c>
      <x:c r="M35" s="19" t="str">
        <x:v>由场景图片组合</x:v>
      </x:c>
      <x:c r="N35" s="19" t="str">
        <x:v>待拍摄/生成</x:v>
      </x:c>
      <x:c r="O35" s="19" t="str">
        <x:v>页面生成组合图</x:v>
      </x:c>
      <x:c r="P35" s="19" t="str">
        <x:v>P1</x:v>
      </x:c>
      <x:c r="Q35" s="19" t="str">
        <x:v>05-场景素材库/06-任务复盘/T-IMG-001_任务证据三联图.jpg</x:v>
      </x:c>
    </x:row>
  </x:sheetData>
  <x:mergeCells>
    <x:mergeCell ref="A1:Q1"/>
    <x:mergeCell ref="A2:Q2"/>
  </x:mergeCells>
  <x:conditionalFormatting sqref="N5:N35">
    <x:cfRule type="containsText" dxfId="3" priority="1" operator="containsText" text="已有"/>
    <x:cfRule type="containsText" dxfId="4" priority="2" operator="containsText" text="本轮"/>
    <x:cfRule type="containsText" dxfId="5" priority="3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2cb6adffdc7143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4" hidden="0" customWidth="1"/>
    <x:col min="5" max="5" width="18" hidden="0" customWidth="1"/>
    <x:col min="6" max="6" width="22" hidden="0" customWidth="1"/>
    <x:col min="7" max="7" width="40" hidden="0" customWidth="1"/>
    <x:col min="8" max="8" width="30" hidden="0" customWidth="1"/>
    <x:col min="9" max="9" width="14" hidden="0" customWidth="1"/>
    <x:col min="10" max="10" width="12" hidden="0" customWidth="1"/>
    <x:col min="11" max="11" width="16" hidden="0" customWidth="1"/>
    <x:col min="12" max="12" width="34" hidden="0" customWidth="1"/>
    <x:col min="13" max="13" width="16" hidden="0" customWidth="1"/>
    <x:col min="14" max="14" width="14" hidden="0" customWidth="1"/>
    <x:col min="15" max="15" width="24" hidden="0" customWidth="1"/>
  </x:cols>
  <x:sheetData>
    <x:row r="1" ht="34" customHeight="1">
      <x:c r="A1" s="3" t="str">
        <x:v>菜品品质｜模拟证据包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以EV-Q-001小炒黄牛肉偏柴为主线，同时补充酸包菜与粉皮两个节点案例；所有精确值均为Demo模拟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0" customHeight="1">
      <x:c r="A4" s="12" t="str">
        <x:v>证据ID</x:v>
      </x:c>
      <x:c r="B4" s="12" t="str">
        <x:v>事件ID</x:v>
      </x:c>
      <x:c r="C4" s="12" t="str">
        <x:v>时间</x:v>
      </x:c>
      <x:c r="D4" s="12" t="str">
        <x:v>SOP节点</x:v>
      </x:c>
      <x:c r="E4" s="12" t="str">
        <x:v>角色</x:v>
      </x:c>
      <x:c r="F4" s="12" t="str">
        <x:v>证据类型</x:v>
      </x:c>
      <x:c r="G4" s="12" t="str">
        <x:v>实际观察/数值</x:v>
      </x:c>
      <x:c r="H4" s="12" t="str">
        <x:v>标准/阈值</x:v>
      </x:c>
      <x:c r="I4" s="12" t="str">
        <x:v>判断</x:v>
      </x:c>
      <x:c r="J4" s="12" t="str">
        <x:v>数据标签</x:v>
      </x:c>
      <x:c r="K4" s="12" t="str">
        <x:v>素材ID</x:v>
      </x:c>
      <x:c r="L4" s="12" t="str">
        <x:v>下一动作</x:v>
      </x:c>
      <x:c r="M4" s="12" t="str">
        <x:v>责任人</x:v>
      </x:c>
      <x:c r="N4" s="12" t="str">
        <x:v>状态</x:v>
      </x:c>
      <x:c r="O4" s="12" t="str">
        <x:v>页面强调</x:v>
      </x:c>
    </x:row>
    <x:row r="5">
      <x:c r="A5" s="17" t="str">
        <x:v>QE-001</x:v>
      </x:c>
      <x:c r="B5" s="17" t="str">
        <x:v>EV-Q-001</x:v>
      </x:c>
      <x:c r="C5" s="17" t="str">
        <x:v>2026-07-12 11:40</x:v>
      </x:c>
      <x:c r="D5" s="17" t="str">
        <x:v>触发</x:v>
      </x:c>
      <x:c r="E5" s="17" t="str">
        <x:v>总部运营</x:v>
      </x:c>
      <x:c r="F5" s="19" t="str">
        <x:v>顾客反馈聚类</x:v>
      </x:c>
      <x:c r="G5" s="19" t="str">
        <x:v>24小时内3次反馈小炒黄牛肉偏柴</x:v>
      </x:c>
      <x:c r="H5" s="19" t="str">
        <x:v>≥2次同菜同店同主题即触发</x:v>
      </x:c>
      <x:c r="I5" s="19" t="str">
        <x:v>触发事件</x:v>
      </x:c>
      <x:c r="J5" s="19" t="str">
        <x:v>C-计算</x:v>
      </x:c>
      <x:c r="K5" s="19" t="str">
        <x:v>SRC-02</x:v>
      </x:c>
      <x:c r="L5" s="19" t="str">
        <x:v>创建品质事件</x:v>
      </x:c>
      <x:c r="M5" s="19" t="str">
        <x:v>王磊</x:v>
      </x:c>
      <x:c r="N5" s="19" t="str">
        <x:v>已完成</x:v>
      </x:c>
      <x:c r="O5" s="19" t="str">
        <x:v>首页异常卡片</x:v>
      </x:c>
    </x:row>
    <x:row r="6">
      <x:c r="A6" s="17" t="str">
        <x:v>QE-002</x:v>
      </x:c>
      <x:c r="B6" s="17" t="str">
        <x:v>EV-Q-001</x:v>
      </x:c>
      <x:c r="C6" s="17" t="str">
        <x:v>2026-07-12 11:42</x:v>
      </x:c>
      <x:c r="D6" s="17" t="str">
        <x:v>判断</x:v>
      </x:c>
      <x:c r="E6" s="17" t="str">
        <x:v>总部品控</x:v>
      </x:c>
      <x:c r="F6" s="19" t="str">
        <x:v>批次关联</x:v>
      </x:c>
      <x:c r="G6" s="19" t="str">
        <x:v>3份订单均使用牛肉批次B0712-03</x:v>
      </x:c>
      <x:c r="H6" s="19" t="str">
        <x:v>需人工核对采购单和领料记录</x:v>
      </x:c>
      <x:c r="I6" s="19" t="str">
        <x:v>待核验</x:v>
      </x:c>
      <x:c r="J6" s="19" t="str">
        <x:v>A-AI判断</x:v>
      </x:c>
      <x:c r="K6" s="19" t="str">
        <x:v>Q-DOC-002</x:v>
      </x:c>
      <x:c r="L6" s="19" t="str">
        <x:v>核对标签与采购单</x:v>
      </x:c>
      <x:c r="M6" s="19" t="str">
        <x:v>张薇</x:v>
      </x:c>
      <x:c r="N6" s="19" t="str">
        <x:v>已完成</x:v>
      </x:c>
      <x:c r="O6" s="19" t="str">
        <x:v>已知证据/待核验分栏</x:v>
      </x:c>
    </x:row>
    <x:row r="7">
      <x:c r="A7" s="17" t="str">
        <x:v>QE-003</x:v>
      </x:c>
      <x:c r="B7" s="17" t="str">
        <x:v>EV-Q-001</x:v>
      </x:c>
      <x:c r="C7" s="17" t="str">
        <x:v>2026-07-12 11:45</x:v>
      </x:c>
      <x:c r="D7" s="17" t="str">
        <x:v>处置</x:v>
      </x:c>
      <x:c r="E7" s="17" t="str">
        <x:v>后厨主管</x:v>
      </x:c>
      <x:c r="F7" s="19" t="str">
        <x:v>批次隔离</x:v>
      </x:c>
      <x:c r="G7" s="19" t="str">
        <x:v>暂停使用B0712-03，库存12kg进入隔离区</x:v>
      </x:c>
      <x:c r="H7" s="19" t="str">
        <x:v>发现同批次复现应先隔离</x:v>
      </x:c>
      <x:c r="I7" s="19" t="str">
        <x:v>符合</x:v>
      </x:c>
      <x:c r="J7" s="19" t="str">
        <x:v>S-模拟</x:v>
      </x:c>
      <x:c r="K7" s="19" t="str">
        <x:v>Q-IMG-004</x:v>
      </x:c>
      <x:c r="L7" s="19" t="str">
        <x:v>张贴隔离标签</x:v>
      </x:c>
      <x:c r="M7" s="19" t="str">
        <x:v>刘强</x:v>
      </x:c>
      <x:c r="N7" s="19" t="str">
        <x:v>已完成</x:v>
      </x:c>
      <x:c r="O7" s="19" t="str">
        <x:v>红色关键动作</x:v>
      </x:c>
    </x:row>
    <x:row r="8">
      <x:c r="A8" s="17" t="str">
        <x:v>QE-004</x:v>
      </x:c>
      <x:c r="B8" s="17" t="str">
        <x:v>EV-Q-001</x:v>
      </x:c>
      <x:c r="C8" s="17" t="str">
        <x:v>2026-07-12 08:12</x:v>
      </x:c>
      <x:c r="D8" s="17" t="str">
        <x:v>收货</x:v>
      </x:c>
      <x:c r="E8" s="17" t="str">
        <x:v>店长/收货</x:v>
      </x:c>
      <x:c r="F8" s="19" t="str">
        <x:v>到货数量</x:v>
      </x:c>
      <x:c r="G8" s="19" t="str">
        <x:v>订单12.0kg，实收12.0kg</x:v>
      </x:c>
      <x:c r="H8" s="19" t="str">
        <x:v>数量差异≤2%</x:v>
      </x:c>
      <x:c r="I8" s="19" t="str">
        <x:v>通过</x:v>
      </x:c>
      <x:c r="J8" s="19" t="str">
        <x:v>S-模拟</x:v>
      </x:c>
      <x:c r="K8" s="19" t="str">
        <x:v>Q-FORM-001</x:v>
      </x:c>
      <x:c r="L8" s="19" t="str">
        <x:v>保留原收货单</x:v>
      </x:c>
      <x:c r="M8" s="19" t="str">
        <x:v>周敏</x:v>
      </x:c>
      <x:c r="N8" s="19" t="str">
        <x:v>已完成</x:v>
      </x:c>
      <x:c r="O8" s="19" t="str">
        <x:v>收货证据卡</x:v>
      </x:c>
    </x:row>
    <x:row r="9">
      <x:c r="A9" s="17" t="str">
        <x:v>QE-005</x:v>
      </x:c>
      <x:c r="B9" s="17" t="str">
        <x:v>EV-Q-001</x:v>
      </x:c>
      <x:c r="C9" s="17" t="str">
        <x:v>2026-07-12 08:13</x:v>
      </x:c>
      <x:c r="D9" s="17" t="str">
        <x:v>收货</x:v>
      </x:c>
      <x:c r="E9" s="17" t="str">
        <x:v>店长/收货</x:v>
      </x:c>
      <x:c r="F9" s="19" t="str">
        <x:v>中心温度</x:v>
      </x:c>
      <x:c r="G9" s="19" t="str">
        <x:v>抽检4.8°C</x:v>
      </x:c>
      <x:c r="H9" s="19" t="str">
        <x:v>冷鲜牛肉建议≤4.0°C</x:v>
      </x:c>
      <x:c r="I9" s="19" t="str">
        <x:v>预警</x:v>
      </x:c>
      <x:c r="J9" s="19" t="str">
        <x:v>S-模拟</x:v>
      </x:c>
      <x:c r="K9" s="19" t="str">
        <x:v>Q-IMG-008</x:v>
      </x:c>
      <x:c r="L9" s="19" t="str">
        <x:v>转入复验</x:v>
      </x:c>
      <x:c r="M9" s="19" t="str">
        <x:v>周敏</x:v>
      </x:c>
      <x:c r="N9" s="19" t="str">
        <x:v>待复验</x:v>
      </x:c>
      <x:c r="O9" s="19" t="str">
        <x:v>异常数值</x:v>
      </x:c>
    </x:row>
    <x:row r="10">
      <x:c r="A10" s="17" t="str">
        <x:v>QE-006</x:v>
      </x:c>
      <x:c r="B10" s="17" t="str">
        <x:v>EV-Q-001</x:v>
      </x:c>
      <x:c r="C10" s="17" t="str">
        <x:v>2026-07-12 08:14</x:v>
      </x:c>
      <x:c r="D10" s="17" t="str">
        <x:v>收货</x:v>
      </x:c>
      <x:c r="E10" s="17" t="str">
        <x:v>店长/收货</x:v>
      </x:c>
      <x:c r="F10" s="19" t="str">
        <x:v>包装与标签</x:v>
      </x:c>
      <x:c r="G10" s="19" t="str">
        <x:v>包装完整；标签批次B0712-03，有效期至07-14</x:v>
      </x:c>
      <x:c r="H10" s="19" t="str">
        <x:v>包装完整且批次清晰</x:v>
      </x:c>
      <x:c r="I10" s="19" t="str">
        <x:v>通过</x:v>
      </x:c>
      <x:c r="J10" s="19" t="str">
        <x:v>S-模拟</x:v>
      </x:c>
      <x:c r="K10" s="19" t="str">
        <x:v>Q-IMG-004</x:v>
      </x:c>
      <x:c r="L10" s="19" t="str">
        <x:v>留存标签照片</x:v>
      </x:c>
      <x:c r="M10" s="19" t="str">
        <x:v>周敏</x:v>
      </x:c>
      <x:c r="N10" s="19" t="str">
        <x:v>已完成</x:v>
      </x:c>
      <x:c r="O10" s="19" t="str">
        <x:v>批次追溯</x:v>
      </x:c>
    </x:row>
    <x:row r="11">
      <x:c r="A11" s="17" t="str">
        <x:v>QE-007</x:v>
      </x:c>
      <x:c r="B11" s="17" t="str">
        <x:v>EV-Q-001</x:v>
      </x:c>
      <x:c r="C11" s="17" t="str">
        <x:v>2026-07-12 08:15</x:v>
      </x:c>
      <x:c r="D11" s="17" t="str">
        <x:v>收货</x:v>
      </x:c>
      <x:c r="E11" s="17" t="str">
        <x:v>店长/收货</x:v>
      </x:c>
      <x:c r="F11" s="19" t="str">
        <x:v>颜色与汁液</x:v>
      </x:c>
      <x:c r="G11" s="19" t="str">
        <x:v>肉色偏暗红；汁液率约2.1%</x:v>
      </x:c>
      <x:c r="H11" s="19" t="str">
        <x:v>色泽鲜红；汁液率≤1.5%</x:v>
      </x:c>
      <x:c r="I11" s="19" t="str">
        <x:v>预警</x:v>
      </x:c>
      <x:c r="J11" s="19" t="str">
        <x:v>S-模拟</x:v>
      </x:c>
      <x:c r="K11" s="19" t="str">
        <x:v>Q-IMG-005</x:v>
      </x:c>
      <x:c r="L11" s="19" t="str">
        <x:v>升级感官复验</x:v>
      </x:c>
      <x:c r="M11" s="19" t="str">
        <x:v>周敏</x:v>
      </x:c>
      <x:c r="N11" s="19" t="str">
        <x:v>待复验</x:v>
      </x:c>
      <x:c r="O11" s="19" t="str">
        <x:v>标准/实际对比</x:v>
      </x:c>
    </x:row>
    <x:row r="12">
      <x:c r="A12" s="17" t="str">
        <x:v>QE-008</x:v>
      </x:c>
      <x:c r="B12" s="17" t="str">
        <x:v>EV-Q-001</x:v>
      </x:c>
      <x:c r="C12" s="17" t="str">
        <x:v>2026-07-12 08:16</x:v>
      </x:c>
      <x:c r="D12" s="17" t="str">
        <x:v>收货</x:v>
      </x:c>
      <x:c r="E12" s="17" t="str">
        <x:v>店长/收货</x:v>
      </x:c>
      <x:c r="F12" s="19" t="str">
        <x:v>弹性评分</x:v>
      </x:c>
      <x:c r="G12" s="19" t="str">
        <x:v>按压回弹3/5</x:v>
      </x:c>
      <x:c r="H12" s="19" t="str">
        <x:v>≥4/5</x:v>
      </x:c>
      <x:c r="I12" s="19" t="str">
        <x:v>预警</x:v>
      </x:c>
      <x:c r="J12" s="19" t="str">
        <x:v>S-模拟</x:v>
      </x:c>
      <x:c r="K12" s="19" t="str">
        <x:v>Q-IMG-007</x:v>
      </x:c>
      <x:c r="L12" s="19" t="str">
        <x:v>补充切面检查</x:v>
      </x:c>
      <x:c r="M12" s="19" t="str">
        <x:v>周敏</x:v>
      </x:c>
      <x:c r="N12" s="19" t="str">
        <x:v>待复验</x:v>
      </x:c>
      <x:c r="O12" s="19" t="str">
        <x:v>感官评分</x:v>
      </x:c>
    </x:row>
    <x:row r="13">
      <x:c r="A13" s="17" t="str">
        <x:v>QE-009</x:v>
      </x:c>
      <x:c r="B13" s="17" t="str">
        <x:v>EV-Q-001</x:v>
      </x:c>
      <x:c r="C13" s="17" t="str">
        <x:v>2026-07-12 08:18</x:v>
      </x:c>
      <x:c r="D13" s="17" t="str">
        <x:v>收货</x:v>
      </x:c>
      <x:c r="E13" s="17" t="str">
        <x:v>店长/收货</x:v>
      </x:c>
      <x:c r="F13" s="19" t="str">
        <x:v>首次结论</x:v>
      </x:c>
      <x:c r="G13" s="19" t="str">
        <x:v>当日仅检查数量、包装和标签，因此被接收</x:v>
      </x:c>
      <x:c r="H13" s="19" t="str">
        <x:v>应包含温度、颜色、气味、弹性、汁液</x:v>
      </x:c>
      <x:c r="I13" s="19" t="str">
        <x:v>流程缺口</x:v>
      </x:c>
      <x:c r="J13" s="19" t="str">
        <x:v>A-AI判断</x:v>
      </x:c>
      <x:c r="K13" s="19" t="str">
        <x:v>Q-FORM-001</x:v>
      </x:c>
      <x:c r="L13" s="19" t="str">
        <x:v>新增感官必填项</x:v>
      </x:c>
      <x:c r="M13" s="19" t="str">
        <x:v>张薇</x:v>
      </x:c>
      <x:c r="N13" s="19" t="str">
        <x:v>进行中</x:v>
      </x:c>
      <x:c r="O13" s="19" t="str">
        <x:v>为什么当时没有拦住</x:v>
      </x:c>
    </x:row>
    <x:row r="14">
      <x:c r="A14" s="17" t="str">
        <x:v>QE-010</x:v>
      </x:c>
      <x:c r="B14" s="17" t="str">
        <x:v>EV-Q-001</x:v>
      </x:c>
      <x:c r="C14" s="17" t="str">
        <x:v>2026-07-12 09:05</x:v>
      </x:c>
      <x:c r="D14" s="17" t="str">
        <x:v>前处理</x:v>
      </x:c>
      <x:c r="E14" s="17" t="str">
        <x:v>后厨小工</x:v>
      </x:c>
      <x:c r="F14" s="19" t="str">
        <x:v>切片厚度</x:v>
      </x:c>
      <x:c r="G14" s="19" t="str">
        <x:v>抽样平均2.7mm</x:v>
      </x:c>
      <x:c r="H14" s="19" t="str">
        <x:v>SOP 2.0–2.3mm</x:v>
      </x:c>
      <x:c r="I14" s="19" t="str">
        <x:v>预警</x:v>
      </x:c>
      <x:c r="J14" s="19" t="str">
        <x:v>S-模拟</x:v>
      </x:c>
      <x:c r="K14" s="19" t="str">
        <x:v>Q-IMG-006</x:v>
      </x:c>
      <x:c r="L14" s="19" t="str">
        <x:v>小份复烹比较</x:v>
      </x:c>
      <x:c r="M14" s="19" t="str">
        <x:v>刘强</x:v>
      </x:c>
      <x:c r="N14" s="19" t="str">
        <x:v>进行中</x:v>
      </x:c>
      <x:c r="O14" s="19" t="str">
        <x:v>前处理节点</x:v>
      </x:c>
    </x:row>
    <x:row r="15">
      <x:c r="A15" s="17" t="str">
        <x:v>QE-011</x:v>
      </x:c>
      <x:c r="B15" s="17" t="str">
        <x:v>EV-Q-001</x:v>
      </x:c>
      <x:c r="C15" s="17" t="str">
        <x:v>2026-07-12 09:08</x:v>
      </x:c>
      <x:c r="D15" s="17" t="str">
        <x:v>前处理</x:v>
      </x:c>
      <x:c r="E15" s="17" t="str">
        <x:v>后厨小工</x:v>
      </x:c>
      <x:c r="F15" s="19" t="str">
        <x:v>单份称重</x:v>
      </x:c>
      <x:c r="G15" s="19" t="str">
        <x:v>252g</x:v>
      </x:c>
      <x:c r="H15" s="19" t="str">
        <x:v>250g±5g</x:v>
      </x:c>
      <x:c r="I15" s="19" t="str">
        <x:v>通过</x:v>
      </x:c>
      <x:c r="J15" s="19" t="str">
        <x:v>S-模拟</x:v>
      </x:c>
      <x:c r="K15" s="19" t="str">
        <x:v>Q-IMG-009</x:v>
      </x:c>
      <x:c r="L15" s="19" t="str">
        <x:v>保持标准份量</x:v>
      </x:c>
      <x:c r="M15" s="19" t="str">
        <x:v>刘强</x:v>
      </x:c>
      <x:c r="N15" s="19" t="str">
        <x:v>已完成</x:v>
      </x:c>
      <x:c r="O15" s="19" t="str">
        <x:v>称重证据</x:v>
      </x:c>
    </x:row>
    <x:row r="16">
      <x:c r="A16" s="17" t="str">
        <x:v>QE-012</x:v>
      </x:c>
      <x:c r="B16" s="17" t="str">
        <x:v>EV-Q-001</x:v>
      </x:c>
      <x:c r="C16" s="17" t="str">
        <x:v>2026-07-12 09:10</x:v>
      </x:c>
      <x:c r="D16" s="17" t="str">
        <x:v>前处理</x:v>
      </x:c>
      <x:c r="E16" s="17" t="str">
        <x:v>后厨小工</x:v>
      </x:c>
      <x:c r="F16" s="19" t="str">
        <x:v>回温等待</x:v>
      </x:c>
      <x:c r="G16" s="19" t="str">
        <x:v>38分钟</x:v>
      </x:c>
      <x:c r="H16" s="19" t="str">
        <x:v>≤25分钟</x:v>
      </x:c>
      <x:c r="I16" s="19" t="str">
        <x:v>预警</x:v>
      </x:c>
      <x:c r="J16" s="19" t="str">
        <x:v>S-模拟</x:v>
      </x:c>
      <x:c r="K16" s="19" t="str">
        <x:v>Q-IMG-010</x:v>
      </x:c>
      <x:c r="L16" s="19" t="str">
        <x:v>增加计时与超时提醒</x:v>
      </x:c>
      <x:c r="M16" s="19" t="str">
        <x:v>刘强</x:v>
      </x:c>
      <x:c r="N16" s="19" t="str">
        <x:v>待执行</x:v>
      </x:c>
      <x:c r="O16" s="19" t="str">
        <x:v>时间偏差</x:v>
      </x:c>
    </x:row>
    <x:row r="17">
      <x:c r="A17" s="17" t="str">
        <x:v>QE-013</x:v>
      </x:c>
      <x:c r="B17" s="17" t="str">
        <x:v>EV-Q-001</x:v>
      </x:c>
      <x:c r="C17" s="17" t="str">
        <x:v>2026-07-12 11:20</x:v>
      </x:c>
      <x:c r="D17" s="17" t="str">
        <x:v>炒菜机</x:v>
      </x:c>
      <x:c r="E17" s="17" t="str">
        <x:v>炒菜机操作员</x:v>
      </x:c>
      <x:c r="F17" s="19" t="str">
        <x:v>菜谱版本</x:v>
      </x:c>
      <x:c r="G17" s="19" t="str">
        <x:v>小炒黄牛肉 R2.3</x:v>
      </x:c>
      <x:c r="H17" s="19" t="str">
        <x:v>总部当前版本R2.3</x:v>
      </x:c>
      <x:c r="I17" s="19" t="str">
        <x:v>通过</x:v>
      </x:c>
      <x:c r="J17" s="19" t="str">
        <x:v>F+S</x:v>
      </x:c>
      <x:c r="K17" s="19" t="str">
        <x:v>Q-IMG-012</x:v>
      </x:c>
      <x:c r="L17" s="19" t="str">
        <x:v>保留版本截图</x:v>
      </x:c>
      <x:c r="M17" s="19" t="str">
        <x:v>陈晨</x:v>
      </x:c>
      <x:c r="N17" s="19" t="str">
        <x:v>已完成</x:v>
      </x:c>
      <x:c r="O17" s="19" t="str">
        <x:v>排除菜谱版本</x:v>
      </x:c>
    </x:row>
    <x:row r="18">
      <x:c r="A18" s="17" t="str">
        <x:v>QE-014</x:v>
      </x:c>
      <x:c r="B18" s="17" t="str">
        <x:v>EV-Q-001</x:v>
      </x:c>
      <x:c r="C18" s="17" t="str">
        <x:v>2026-07-12 11:21</x:v>
      </x:c>
      <x:c r="D18" s="17" t="str">
        <x:v>炒菜机</x:v>
      </x:c>
      <x:c r="E18" s="17" t="str">
        <x:v>炒菜机操作员</x:v>
      </x:c>
      <x:c r="F18" s="19" t="str">
        <x:v>食材总量</x:v>
      </x:c>
      <x:c r="G18" s="19" t="str">
        <x:v>实际562g，标准560g</x:v>
      </x:c>
      <x:c r="H18" s="19" t="str">
        <x:v>允许±2%</x:v>
      </x:c>
      <x:c r="I18" s="19" t="str">
        <x:v>通过</x:v>
      </x:c>
      <x:c r="J18" s="19" t="str">
        <x:v>S-模拟</x:v>
      </x:c>
      <x:c r="K18" s="19" t="str">
        <x:v>Q-IMG-013</x:v>
      </x:c>
      <x:c r="L18" s="19" t="str">
        <x:v>保留称重记录</x:v>
      </x:c>
      <x:c r="M18" s="19" t="str">
        <x:v>陈晨</x:v>
      </x:c>
      <x:c r="N18" s="19" t="str">
        <x:v>已完成</x:v>
      </x:c>
      <x:c r="O18" s="19" t="str">
        <x:v>人工称重偏差</x:v>
      </x:c>
    </x:row>
    <x:row r="19">
      <x:c r="A19" s="17" t="str">
        <x:v>QE-015</x:v>
      </x:c>
      <x:c r="B19" s="17" t="str">
        <x:v>EV-Q-001</x:v>
      </x:c>
      <x:c r="C19" s="17" t="str">
        <x:v>2026-07-12 11:24</x:v>
      </x:c>
      <x:c r="D19" s="17" t="str">
        <x:v>炒菜机</x:v>
      </x:c>
      <x:c r="E19" s="17" t="str">
        <x:v>炒菜机操作员</x:v>
      </x:c>
      <x:c r="F19" s="19" t="str">
        <x:v>调料总量</x:v>
      </x:c>
      <x:c r="G19" s="19" t="str">
        <x:v>实际133.2g，标准133g，偏差+0.15%</x:v>
      </x:c>
      <x:c r="H19" s="19" t="str">
        <x:v>预警线±0.5%</x:v>
      </x:c>
      <x:c r="I19" s="19" t="str">
        <x:v>通过</x:v>
      </x:c>
      <x:c r="J19" s="19" t="str">
        <x:v>C-计算</x:v>
      </x:c>
      <x:c r="K19" s="19" t="str">
        <x:v>Q-IMG-014</x:v>
      </x:c>
      <x:c r="L19" s="19" t="str">
        <x:v>无需调整调料</x:v>
      </x:c>
      <x:c r="M19" s="19" t="str">
        <x:v>陈晨</x:v>
      </x:c>
      <x:c r="N19" s="19" t="str">
        <x:v>已完成</x:v>
      </x:c>
      <x:c r="O19" s="19" t="str">
        <x:v>排除机器调料</x:v>
      </x:c>
    </x:row>
    <x:row r="20">
      <x:c r="A20" s="17" t="str">
        <x:v>QE-016</x:v>
      </x:c>
      <x:c r="B20" s="17" t="str">
        <x:v>EV-Q-001</x:v>
      </x:c>
      <x:c r="C20" s="17" t="str">
        <x:v>2026-07-12 11:27</x:v>
      </x:c>
      <x:c r="D20" s="17" t="str">
        <x:v>炒菜机</x:v>
      </x:c>
      <x:c r="E20" s="17" t="str">
        <x:v>炒菜机操作员</x:v>
      </x:c>
      <x:c r="F20" s="19" t="str">
        <x:v>烹饪时间</x:v>
      </x:c>
      <x:c r="G20" s="19" t="str">
        <x:v>181秒</x:v>
      </x:c>
      <x:c r="H20" s="19" t="str">
        <x:v>180±5秒</x:v>
      </x:c>
      <x:c r="I20" s="19" t="str">
        <x:v>通过</x:v>
      </x:c>
      <x:c r="J20" s="19" t="str">
        <x:v>S-模拟</x:v>
      </x:c>
      <x:c r="K20" s="19" t="str">
        <x:v>Q-MACH-001</x:v>
      </x:c>
      <x:c r="L20" s="19" t="str">
        <x:v>保留机器日志</x:v>
      </x:c>
      <x:c r="M20" s="19" t="str">
        <x:v>陈晨</x:v>
      </x:c>
      <x:c r="N20" s="19" t="str">
        <x:v>已完成</x:v>
      </x:c>
      <x:c r="O20" s="19" t="str">
        <x:v>机器执行</x:v>
      </x:c>
    </x:row>
    <x:row r="21">
      <x:c r="A21" s="17" t="str">
        <x:v>QE-017</x:v>
      </x:c>
      <x:c r="B21" s="17" t="str">
        <x:v>EV-Q-001</x:v>
      </x:c>
      <x:c r="C21" s="17" t="str">
        <x:v>2026-07-12 11:34</x:v>
      </x:c>
      <x:c r="D21" s="17" t="str">
        <x:v>出餐</x:v>
      </x:c>
      <x:c r="E21" s="17" t="str">
        <x:v>服务员</x:v>
      </x:c>
      <x:c r="F21" s="19" t="str">
        <x:v>出餐等待</x:v>
      </x:c>
      <x:c r="G21" s="19" t="str">
        <x:v>6分40秒</x:v>
      </x:c>
      <x:c r="H21" s="19" t="str">
        <x:v>≤8分钟</x:v>
      </x:c>
      <x:c r="I21" s="19" t="str">
        <x:v>通过</x:v>
      </x:c>
      <x:c r="J21" s="19" t="str">
        <x:v>S-模拟</x:v>
      </x:c>
      <x:c r="K21" s="19" t="str">
        <x:v>Q-SERVE-001</x:v>
      </x:c>
      <x:c r="L21" s="19" t="str">
        <x:v>无需归因出餐等待</x:v>
      </x:c>
      <x:c r="M21" s="19" t="str">
        <x:v>赵静</x:v>
      </x:c>
      <x:c r="N21" s="19" t="str">
        <x:v>已完成</x:v>
      </x:c>
      <x:c r="O21" s="19" t="str">
        <x:v>排除等待时间</x:v>
      </x:c>
    </x:row>
    <x:row r="22">
      <x:c r="A22" s="17" t="str">
        <x:v>QE-018</x:v>
      </x:c>
      <x:c r="B22" s="17" t="str">
        <x:v>EV-Q-001</x:v>
      </x:c>
      <x:c r="C22" s="17" t="str">
        <x:v>2026-07-12 11:36</x:v>
      </x:c>
      <x:c r="D22" s="17" t="str">
        <x:v>出餐</x:v>
      </x:c>
      <x:c r="E22" s="17" t="str">
        <x:v>店长</x:v>
      </x:c>
      <x:c r="F22" s="19" t="str">
        <x:v>成品复验</x:v>
      </x:c>
      <x:c r="G22" s="19" t="str">
        <x:v>色泽基本正常，但牛肉咀嚼阻力明显</x:v>
      </x:c>
      <x:c r="H22" s="19" t="str">
        <x:v>嫩滑、少汁液析出</x:v>
      </x:c>
      <x:c r="I22" s="19" t="str">
        <x:v>不通过</x:v>
      </x:c>
      <x:c r="J22" s="19" t="str">
        <x:v>S-模拟</x:v>
      </x:c>
      <x:c r="K22" s="19" t="str">
        <x:v>Q-IMG-016</x:v>
      </x:c>
      <x:c r="L22" s="19" t="str">
        <x:v>使用新批次复烹</x:v>
      </x:c>
      <x:c r="M22" s="19" t="str">
        <x:v>周敏</x:v>
      </x:c>
      <x:c r="N22" s="19" t="str">
        <x:v>进行中</x:v>
      </x:c>
      <x:c r="O22" s="19" t="str">
        <x:v>成品异常对比</x:v>
      </x:c>
    </x:row>
    <x:row r="23">
      <x:c r="A23" s="17" t="str">
        <x:v>QE-019</x:v>
      </x:c>
      <x:c r="B23" s="17" t="str">
        <x:v>EV-Q-001</x:v>
      </x:c>
      <x:c r="C23" s="17" t="str">
        <x:v>2026-07-13 08:30</x:v>
      </x:c>
      <x:c r="D23" s="17" t="str">
        <x:v>处置</x:v>
      </x:c>
      <x:c r="E23" s="17" t="str">
        <x:v>采购</x:v>
      </x:c>
      <x:c r="F23" s="19" t="str">
        <x:v>退换与调拨</x:v>
      </x:c>
      <x:c r="G23" s="19" t="str">
        <x:v>退回12kg；尊宝大厦店调拨3kg</x:v>
      </x:c>
      <x:c r="H23" s="19" t="str">
        <x:v>隔离量需全部有去向</x:v>
      </x:c>
      <x:c r="I23" s="19" t="str">
        <x:v>通过</x:v>
      </x:c>
      <x:c r="J23" s="19" t="str">
        <x:v>S-模拟</x:v>
      </x:c>
      <x:c r="K23" s="19" t="str">
        <x:v>Q-DOC-004</x:v>
      </x:c>
      <x:c r="L23" s="19" t="str">
        <x:v>上传退换单和调拨单</x:v>
      </x:c>
      <x:c r="M23" s="19" t="str">
        <x:v>李明</x:v>
      </x:c>
      <x:c r="N23" s="19" t="str">
        <x:v>待验收</x:v>
      </x:c>
      <x:c r="O23" s="19" t="str">
        <x:v>跨店协同</x:v>
      </x:c>
    </x:row>
    <x:row r="24">
      <x:c r="A24" s="17" t="str">
        <x:v>QE-020</x:v>
      </x:c>
      <x:c r="B24" s="17" t="str">
        <x:v>EV-Q-001</x:v>
      </x:c>
      <x:c r="C24" s="17" t="str">
        <x:v>2026-07-13 10:20</x:v>
      </x:c>
      <x:c r="D24" s="17" t="str">
        <x:v>复验</x:v>
      </x:c>
      <x:c r="E24" s="17" t="str">
        <x:v>炒菜机操作员</x:v>
      </x:c>
      <x:c r="F24" s="19" t="str">
        <x:v>新批次复烹</x:v>
      </x:c>
      <x:c r="G24" s="19" t="str">
        <x:v>同菜谱R2.3，成品嫩度4/5</x:v>
      </x:c>
      <x:c r="H24" s="19" t="str">
        <x:v>≥4/5</x:v>
      </x:c>
      <x:c r="I24" s="19" t="str">
        <x:v>通过</x:v>
      </x:c>
      <x:c r="J24" s="19" t="str">
        <x:v>S-模拟</x:v>
      </x:c>
      <x:c r="K24" s="19" t="str">
        <x:v>Q-IMG-015</x:v>
      </x:c>
      <x:c r="L24" s="19" t="str">
        <x:v>连续观察7日</x:v>
      </x:c>
      <x:c r="M24" s="19" t="str">
        <x:v>陈晨</x:v>
      </x:c>
      <x:c r="N24" s="19" t="str">
        <x:v>待验收</x:v>
      </x:c>
      <x:c r="O24" s="19" t="str">
        <x:v>关闭条件</x:v>
      </x:c>
    </x:row>
    <x:row r="25">
      <x:c r="A25" s="17" t="str">
        <x:v>QE-021</x:v>
      </x:c>
      <x:c r="B25" s="17" t="str">
        <x:v>EV-Q-002</x:v>
      </x:c>
      <x:c r="C25" s="17" t="str">
        <x:v>2026-07-10 09:20</x:v>
      </x:c>
      <x:c r="D25" s="17" t="str">
        <x:v>收货</x:v>
      </x:c>
      <x:c r="E25" s="17" t="str">
        <x:v>店长/收货</x:v>
      </x:c>
      <x:c r="F25" s="19" t="str">
        <x:v>酸包菜口感抽检</x:v>
      </x:c>
      <x:c r="G25" s="19" t="str">
        <x:v>酸度感官2/5，简易pH 4.1</x:v>
      </x:c>
      <x:c r="H25" s="19" t="str">
        <x:v>酸度≥4/5；pH 3.4–3.8</x:v>
      </x:c>
      <x:c r="I25" s="19" t="str">
        <x:v>不通过</x:v>
      </x:c>
      <x:c r="J25" s="19" t="str">
        <x:v>S-模拟</x:v>
      </x:c>
      <x:c r="K25" s="19" t="str">
        <x:v>Q-IMG-018</x:v>
      </x:c>
      <x:c r="L25" s="19" t="str">
        <x:v>隔离并供应商复验</x:v>
      </x:c>
      <x:c r="M25" s="19" t="str">
        <x:v>王芳</x:v>
      </x:c>
      <x:c r="N25" s="19" t="str">
        <x:v>进行中</x:v>
      </x:c>
      <x:c r="O25" s="19" t="str">
        <x:v>第二品质事件</x:v>
      </x:c>
    </x:row>
    <x:row r="26">
      <x:c r="A26" s="17" t="str">
        <x:v>QE-022</x:v>
      </x:c>
      <x:c r="B26" s="17" t="str">
        <x:v>EV-Q-002</x:v>
      </x:c>
      <x:c r="C26" s="17" t="str">
        <x:v>2026-07-10 09:25</x:v>
      </x:c>
      <x:c r="D26" s="17" t="str">
        <x:v>处置</x:v>
      </x:c>
      <x:c r="E26" s="17" t="str">
        <x:v>采购</x:v>
      </x:c>
      <x:c r="F26" s="19" t="str">
        <x:v>供应商复验规则</x:v>
      </x:c>
      <x:c r="G26" s="19" t="str">
        <x:v>连续3批记录酸度、pH、包装与日期</x:v>
      </x:c>
      <x:c r="H26" s="19" t="str">
        <x:v>3批全部通过</x:v>
      </x:c>
      <x:c r="I26" s="19" t="str">
        <x:v>待验收</x:v>
      </x:c>
      <x:c r="J26" s="19" t="str">
        <x:v>A-AI判断</x:v>
      </x:c>
      <x:c r="K26" s="19" t="str">
        <x:v>Q-FORM-001</x:v>
      </x:c>
      <x:c r="L26" s="19" t="str">
        <x:v>加入供应商整改任务</x:v>
      </x:c>
      <x:c r="M26" s="19" t="str">
        <x:v>李明</x:v>
      </x:c>
      <x:c r="N26" s="19" t="str">
        <x:v>进行中</x:v>
      </x:c>
      <x:c r="O26" s="19" t="str">
        <x:v>供应商闭环</x:v>
      </x:c>
    </x:row>
    <x:row r="27">
      <x:c r="A27" s="17" t="str">
        <x:v>QE-023</x:v>
      </x:c>
      <x:c r="B27" s="17" t="str">
        <x:v>EV-P-001</x:v>
      </x:c>
      <x:c r="C27" s="17" t="str">
        <x:v>2026-07-09 16:10</x:v>
      </x:c>
      <x:c r="D27" s="17" t="str">
        <x:v>前处理</x:v>
      </x:c>
      <x:c r="E27" s="17" t="str">
        <x:v>后厨小工</x:v>
      </x:c>
      <x:c r="F27" s="19" t="str">
        <x:v>粉皮浸泡</x:v>
      </x:c>
      <x:c r="G27" s="19" t="str">
        <x:v>单批5kg、水温28°C、浸泡45分钟</x:v>
      </x:c>
      <x:c r="H27" s="19" t="str">
        <x:v>单批≤2kg、水温≤22°C、30±5分钟</x:v>
      </x:c>
      <x:c r="I27" s="19" t="str">
        <x:v>不通过</x:v>
      </x:c>
      <x:c r="J27" s="19" t="str">
        <x:v>S-模拟</x:v>
      </x:c>
      <x:c r="K27" s="19" t="str">
        <x:v>Q-IMG-019</x:v>
      </x:c>
      <x:c r="L27" s="19" t="str">
        <x:v>分批浸泡并计时</x:v>
      </x:c>
      <x:c r="M27" s="19" t="str">
        <x:v>郑琳</x:v>
      </x:c>
      <x:c r="N27" s="19" t="str">
        <x:v>已完成</x:v>
      </x:c>
      <x:c r="O27" s="19" t="str">
        <x:v>前处理异常</x:v>
      </x:c>
    </x:row>
    <x:row r="28">
      <x:c r="A28" s="17" t="str">
        <x:v>QE-024</x:v>
      </x:c>
      <x:c r="B28" s="17" t="str">
        <x:v>EV-P-001</x:v>
      </x:c>
      <x:c r="C28" s="17" t="str">
        <x:v>2026-07-09 18:40</x:v>
      </x:c>
      <x:c r="D28" s="17" t="str">
        <x:v>验收</x:v>
      </x:c>
      <x:c r="E28" s="17" t="str">
        <x:v>店长</x:v>
      </x:c>
      <x:c r="F28" s="19" t="str">
        <x:v>晚市复盘</x:v>
      </x:c>
      <x:c r="G28" s="19" t="str">
        <x:v>新SOP后出餐超时0单，粉皮无明显粘连</x:v>
      </x:c>
      <x:c r="H28" s="19" t="str">
        <x:v>超时≤1单且无粘连</x:v>
      </x:c>
      <x:c r="I28" s="19" t="str">
        <x:v>通过</x:v>
      </x:c>
      <x:c r="J28" s="19" t="str">
        <x:v>C-计算</x:v>
      </x:c>
      <x:c r="K28" s="19" t="str">
        <x:v>Q-FORM-002</x:v>
      </x:c>
      <x:c r="L28" s="19" t="str">
        <x:v>关闭事件</x:v>
      </x:c>
      <x:c r="M28" s="19" t="str">
        <x:v>张洁</x:v>
      </x:c>
      <x:c r="N28" s="19" t="str">
        <x:v>已完成</x:v>
      </x:c>
      <x:c r="O28" s="19" t="str">
        <x:v>正向闭环结果</x:v>
      </x:c>
    </x:row>
  </x:sheetData>
  <x:mergeCells>
    <x:mergeCell ref="A1:O1"/>
    <x:mergeCell ref="A2:O2"/>
  </x:mergeCells>
  <x:conditionalFormatting sqref="N5:N28">
    <x:cfRule type="containsText" dxfId="6" priority="1" operator="containsText" text="已有"/>
    <x:cfRule type="containsText" dxfId="7" priority="2" operator="containsText" text="本轮"/>
    <x:cfRule type="containsText" dxfId="8" priority="3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7a4d3ba6e7c243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6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44" hidden="0" customWidth="1"/>
    <x:col min="13" max="13" width="14" hidden="0" customWidth="1"/>
    <x:col min="14" max="14" width="14" hidden="0" customWidth="1"/>
    <x:col min="15" max="15" width="12" hidden="0" customWidth="1"/>
  </x:cols>
  <x:sheetData>
    <x:row r="1" ht="34" customHeight="1">
      <x:c r="A1" s="3" t="str">
        <x:v>精准备货｜青椒42kg证据包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人工申报50kg，系统最终建议42kg，实际耗用43kg；用于演示预测、人工修正、采购执行与复盘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0" customHeight="1">
      <x:c r="A4" s="12" t="str">
        <x:v>日期</x:v>
      </x:c>
      <x:c r="B4" s="12" t="str">
        <x:v>门店ID</x:v>
      </x:c>
      <x:c r="C4" s="12" t="str">
        <x:v>门店</x:v>
      </x:c>
      <x:c r="D4" s="12" t="str">
        <x:v>月销基线(元)</x:v>
      </x:c>
      <x:c r="E4" s="12" t="str">
        <x:v>人工申报kg</x:v>
      </x:c>
      <x:c r="F4" s="12" t="str">
        <x:v>系统原始预测kg</x:v>
      </x:c>
      <x:c r="G4" s="12" t="str">
        <x:v>可用库存kg</x:v>
      </x:c>
      <x:c r="H4" s="12" t="str">
        <x:v>安全库存kg</x:v>
      </x:c>
      <x:c r="I4" s="12" t="str">
        <x:v>最终建议kg</x:v>
      </x:c>
      <x:c r="J4" s="12" t="str">
        <x:v>实际耗用kg</x:v>
      </x:c>
      <x:c r="K4" s="12" t="str">
        <x:v>准确率</x:v>
      </x:c>
      <x:c r="L4" s="12" t="str">
        <x:v>人工修正/业务原因</x:v>
      </x:c>
      <x:c r="M4" s="12" t="str">
        <x:v>审批人</x:v>
      </x:c>
      <x:c r="N4" s="12" t="str">
        <x:v>状态</x:v>
      </x:c>
      <x:c r="O4" s="12" t="str">
        <x:v>差异kg</x:v>
      </x:c>
    </x:row>
    <x:row r="5">
      <x:c r="A5" s="27" t="n">
        <x:v>46214.5</x:v>
      </x:c>
      <x:c r="B5" s="17" t="str">
        <x:v>S01</x:v>
      </x:c>
      <x:c r="C5" s="17" t="str">
        <x:v>近江天阳店</x:v>
      </x:c>
      <x:c r="D5" s="28" t="n">
        <x:v>285000</x:v>
      </x:c>
      <x:c r="E5" s="30" t="n">
        <x:v>8</x:v>
      </x:c>
      <x:c r="F5" s="30" t="n">
        <x:v>6.9</x:v>
      </x:c>
      <x:c r="G5" s="30" t="n">
        <x:v>1.2</x:v>
      </x:c>
      <x:c r="H5" s="30" t="n">
        <x:v>0.8</x:v>
      </x:c>
      <x:c r="I5" s="30" t="n">
        <x:v>6.7</x:v>
      </x:c>
      <x:c r="J5" s="30" t="n">
        <x:v>7</x:v>
      </x:c>
      <x:c r="K5" s="32" t="n">
        <x:f>1-ABS(I5-J5)/J5</x:f>
        <x:v>0.9571428571428572</x:v>
      </x:c>
      <x:c r="L5" s="19" t="str">
        <x:v>晚市预订较多，保留0.3kg安全余量</x:v>
      </x:c>
      <x:c r="M5" s="17" t="str">
        <x:v>李明</x:v>
      </x:c>
      <x:c r="N5" s="17" t="str">
        <x:v>已批准</x:v>
      </x:c>
      <x:c r="O5" s="30" t="n">
        <x:f>I5-J5</x:f>
        <x:v>-0.2999999999999998</x:v>
      </x:c>
    </x:row>
    <x:row r="6">
      <x:c r="A6" s="27" t="n">
        <x:v>46214.5</x:v>
      </x:c>
      <x:c r="B6" s="17" t="str">
        <x:v>S02</x:v>
      </x:c>
      <x:c r="C6" s="17" t="str">
        <x:v>尊宝大厦店</x:v>
      </x:c>
      <x:c r="D6" s="28" t="n">
        <x:v>270000</x:v>
      </x:c>
      <x:c r="E6" s="30" t="n">
        <x:v>7</x:v>
      </x:c>
      <x:c r="F6" s="30" t="n">
        <x:v>6.1</x:v>
      </x:c>
      <x:c r="G6" s="30" t="n">
        <x:v>1</x:v>
      </x:c>
      <x:c r="H6" s="30" t="n">
        <x:v>0.7</x:v>
      </x:c>
      <x:c r="I6" s="30" t="n">
        <x:v>6</x:v>
      </x:c>
      <x:c r="J6" s="30" t="n">
        <x:v>6.1</x:v>
      </x:c>
      <x:c r="K6" s="32" t="n">
        <x:f>1-ABS(I6-J6)/J6</x:f>
        <x:v>0.9836065573770493</x:v>
      </x:c>
      <x:c r="L6" s="19" t="str">
        <x:v>库存较健康，按预测下调</x:v>
      </x:c>
      <x:c r="M6" s="17" t="str">
        <x:v>李明</x:v>
      </x:c>
      <x:c r="N6" s="17" t="str">
        <x:v>已批准</x:v>
      </x:c>
      <x:c r="O6" s="30" t="n">
        <x:f>I6-J6</x:f>
        <x:v>-0.09999999999999964</x:v>
      </x:c>
    </x:row>
    <x:row r="7">
      <x:c r="A7" s="27" t="n">
        <x:v>46214.5</x:v>
      </x:c>
      <x:c r="B7" s="17" t="str">
        <x:v>S03</x:v>
      </x:c>
      <x:c r="C7" s="17" t="str">
        <x:v>铂悦城店</x:v>
      </x:c>
      <x:c r="D7" s="28" t="n">
        <x:v>260000</x:v>
      </x:c>
      <x:c r="E7" s="30" t="n">
        <x:v>6.5</x:v>
      </x:c>
      <x:c r="F7" s="30" t="n">
        <x:v>5.7</x:v>
      </x:c>
      <x:c r="G7" s="30" t="n">
        <x:v>0.9</x:v>
      </x:c>
      <x:c r="H7" s="30" t="n">
        <x:v>0.7</x:v>
      </x:c>
      <x:c r="I7" s="30" t="n">
        <x:v>5.6</x:v>
      </x:c>
      <x:c r="J7" s="30" t="n">
        <x:v>5.6</x:v>
      </x:c>
      <x:c r="K7" s="32" t="n">
        <x:f>1-ABS(I7-J7)/J7</x:f>
        <x:v>1</x:v>
      </x:c>
      <x:c r="L7" s="19" t="str">
        <x:v>按预测执行</x:v>
      </x:c>
      <x:c r="M7" s="17" t="str">
        <x:v>李明</x:v>
      </x:c>
      <x:c r="N7" s="17" t="str">
        <x:v>已批准</x:v>
      </x:c>
      <x:c r="O7" s="30" t="n">
        <x:f>I7-J7</x:f>
        <x:v>0</x:v>
      </x:c>
    </x:row>
    <x:row r="8">
      <x:c r="A8" s="27" t="n">
        <x:v>46214.5</x:v>
      </x:c>
      <x:c r="B8" s="17" t="str">
        <x:v>S04</x:v>
      </x:c>
      <x:c r="C8" s="17" t="str">
        <x:v>金街美地店</x:v>
      </x:c>
      <x:c r="D8" s="28" t="n">
        <x:v>255000</x:v>
      </x:c>
      <x:c r="E8" s="30" t="n">
        <x:v>6.2</x:v>
      </x:c>
      <x:c r="F8" s="30" t="n">
        <x:v>5.3</x:v>
      </x:c>
      <x:c r="G8" s="30" t="n">
        <x:v>0.8</x:v>
      </x:c>
      <x:c r="H8" s="30" t="n">
        <x:v>0.6</x:v>
      </x:c>
      <x:c r="I8" s="30" t="n">
        <x:v>5.3</x:v>
      </x:c>
      <x:c r="J8" s="30" t="n">
        <x:v>5.3</x:v>
      </x:c>
      <x:c r="K8" s="32" t="n">
        <x:f>1-ABS(I8-J8)/J8</x:f>
        <x:v>1</x:v>
      </x:c>
      <x:c r="L8" s="19" t="str">
        <x:v>粉皮事件不影响青椒需求</x:v>
      </x:c>
      <x:c r="M8" s="17" t="str">
        <x:v>李明</x:v>
      </x:c>
      <x:c r="N8" s="17" t="str">
        <x:v>已批准</x:v>
      </x:c>
      <x:c r="O8" s="30" t="n">
        <x:f>I8-J8</x:f>
        <x:v>0</x:v>
      </x:c>
    </x:row>
    <x:row r="9">
      <x:c r="A9" s="27" t="n">
        <x:v>46214.5</x:v>
      </x:c>
      <x:c r="B9" s="17" t="str">
        <x:v>S05</x:v>
      </x:c>
      <x:c r="C9" s="17" t="str">
        <x:v>同顺街店</x:v>
      </x:c>
      <x:c r="D9" s="28" t="n">
        <x:v>248000</x:v>
      </x:c>
      <x:c r="E9" s="30" t="n">
        <x:v>6</x:v>
      </x:c>
      <x:c r="F9" s="30" t="n">
        <x:v>5</x:v>
      </x:c>
      <x:c r="G9" s="30" t="n">
        <x:v>0.7</x:v>
      </x:c>
      <x:c r="H9" s="30" t="n">
        <x:v>0.6</x:v>
      </x:c>
      <x:c r="I9" s="30" t="n">
        <x:v>5</x:v>
      </x:c>
      <x:c r="J9" s="30" t="n">
        <x:v>5.1</x:v>
      </x:c>
      <x:c r="K9" s="32" t="n">
        <x:f>1-ABS(I9-J9)/J9</x:f>
        <x:v>0.9803921568627452</x:v>
      </x:c>
      <x:c r="L9" s="19" t="str">
        <x:v>酸包菜事件使部分销量转移到辣椒菜</x:v>
      </x:c>
      <x:c r="M9" s="17" t="str">
        <x:v>李明</x:v>
      </x:c>
      <x:c r="N9" s="17" t="str">
        <x:v>已批准</x:v>
      </x:c>
      <x:c r="O9" s="30" t="n">
        <x:f>I9-J9</x:f>
        <x:v>-0.09999999999999964</x:v>
      </x:c>
    </x:row>
    <x:row r="10">
      <x:c r="A10" s="27" t="n">
        <x:v>46214.5</x:v>
      </x:c>
      <x:c r="B10" s="17" t="str">
        <x:v>S06</x:v>
      </x:c>
      <x:c r="C10" s="17" t="str">
        <x:v>蓝钻天城店</x:v>
      </x:c>
      <x:c r="D10" s="28" t="n">
        <x:v>240000</x:v>
      </x:c>
      <x:c r="E10" s="30" t="n">
        <x:v>5.8</x:v>
      </x:c>
      <x:c r="F10" s="30" t="n">
        <x:v>4.7</x:v>
      </x:c>
      <x:c r="G10" s="30" t="n">
        <x:v>0.8</x:v>
      </x:c>
      <x:c r="H10" s="30" t="n">
        <x:v>0.6</x:v>
      </x:c>
      <x:c r="I10" s="30" t="n">
        <x:v>4.8</x:v>
      </x:c>
      <x:c r="J10" s="30" t="n">
        <x:v>4.9</x:v>
      </x:c>
      <x:c r="K10" s="32" t="n">
        <x:f>1-ABS(I10-J10)/J10</x:f>
        <x:v>0.9795918367346937</x:v>
      </x:c>
      <x:c r="L10" s="19" t="str">
        <x:v>外卖活动略增加需求</x:v>
      </x:c>
      <x:c r="M10" s="17" t="str">
        <x:v>李明</x:v>
      </x:c>
      <x:c r="N10" s="17" t="str">
        <x:v>已批准</x:v>
      </x:c>
      <x:c r="O10" s="30" t="n">
        <x:f>I10-J10</x:f>
        <x:v>-0.10000000000000053</x:v>
      </x:c>
    </x:row>
    <x:row r="11">
      <x:c r="A11" s="27" t="n">
        <x:v>46214.5</x:v>
      </x:c>
      <x:c r="B11" s="17" t="str">
        <x:v>S07</x:v>
      </x:c>
      <x:c r="C11" s="17" t="str">
        <x:v>小和山店</x:v>
      </x:c>
      <x:c r="D11" s="28" t="n">
        <x:v>230000</x:v>
      </x:c>
      <x:c r="E11" s="30" t="n">
        <x:v>5.5</x:v>
      </x:c>
      <x:c r="F11" s="30" t="n">
        <x:v>4.4</x:v>
      </x:c>
      <x:c r="G11" s="30" t="n">
        <x:v>0.6</x:v>
      </x:c>
      <x:c r="H11" s="30" t="n">
        <x:v>0.5</x:v>
      </x:c>
      <x:c r="I11" s="30" t="n">
        <x:v>4.4</x:v>
      </x:c>
      <x:c r="J11" s="30" t="n">
        <x:v>4.6</x:v>
      </x:c>
      <x:c r="K11" s="32" t="n">
        <x:f>1-ABS(I11-J11)/J11</x:f>
        <x:v>0.9565217391304349</x:v>
      </x:c>
      <x:c r="L11" s="19" t="str">
        <x:v>低于人工申报，保留门店修正记录</x:v>
      </x:c>
      <x:c r="M11" s="17" t="str">
        <x:v>李明</x:v>
      </x:c>
      <x:c r="N11" s="17" t="str">
        <x:v>已批准</x:v>
      </x:c>
      <x:c r="O11" s="30" t="n">
        <x:f>I11-J11</x:f>
        <x:v>-0.1999999999999993</x:v>
      </x:c>
    </x:row>
    <x:row r="12">
      <x:c r="A12" s="27" t="n">
        <x:v>46214.5</x:v>
      </x:c>
      <x:c r="B12" s="17" t="str">
        <x:v>S08</x:v>
      </x:c>
      <x:c r="C12" s="17" t="str">
        <x:v>四季青店</x:v>
      </x:c>
      <x:c r="D12" s="28" t="n">
        <x:v>212000</x:v>
      </x:c>
      <x:c r="E12" s="30" t="n">
        <x:v>5</x:v>
      </x:c>
      <x:c r="F12" s="30" t="n">
        <x:v>4.1</x:v>
      </x:c>
      <x:c r="G12" s="30" t="n">
        <x:v>0.6</x:v>
      </x:c>
      <x:c r="H12" s="30" t="n">
        <x:v>0.5</x:v>
      </x:c>
      <x:c r="I12" s="30" t="n">
        <x:v>4.2</x:v>
      </x:c>
      <x:c r="J12" s="30" t="n">
        <x:v>4.4</x:v>
      </x:c>
      <x:c r="K12" s="32" t="n">
        <x:f>1-ABS(I12-J12)/J12</x:f>
        <x:v>0.9545454545454545</x:v>
      </x:c>
      <x:c r="L12" s="19" t="str">
        <x:v>周边活动预留0.1kg</x:v>
      </x:c>
      <x:c r="M12" s="17" t="str">
        <x:v>李明</x:v>
      </x:c>
      <x:c r="N12" s="17" t="str">
        <x:v>已批准</x:v>
      </x:c>
      <x:c r="O12" s="30" t="n">
        <x:f>I12-J12</x:f>
        <x:v>-0.20000000000000018</x:v>
      </x:c>
    </x:row>
    <x:row r="13">
      <x:c r="A13" s="26" t="str">
        <x:v>合计</x:v>
      </x:c>
      <x:c r="B13" s="26" t="str"/>
      <x:c r="C13" s="26" t="str">
        <x:v>8店合计</x:v>
      </x:c>
      <x:c r="D13" s="29" t="n">
        <x:f>SUM(D5:D12)</x:f>
        <x:v>2000000</x:v>
      </x:c>
      <x:c r="E13" s="31" t="n">
        <x:f>SUM(E5:E12)</x:f>
        <x:v>50</x:v>
      </x:c>
      <x:c r="F13" s="31" t="n">
        <x:f>SUM(F5:F12)</x:f>
        <x:v>42.2</x:v>
      </x:c>
      <x:c r="G13" s="31" t="n">
        <x:f>SUM(G5:G12)</x:f>
        <x:v>6.6</x:v>
      </x:c>
      <x:c r="H13" s="31" t="n">
        <x:f>SUM(H5:H12)</x:f>
        <x:v>5</x:v>
      </x:c>
      <x:c r="I13" s="31" t="n">
        <x:f>SUM(I5:I12)</x:f>
        <x:v>42</x:v>
      </x:c>
      <x:c r="J13" s="31" t="n">
        <x:f>SUM(J5:J12)</x:f>
        <x:v>43</x:v>
      </x:c>
      <x:c r="K13" s="33" t="n">
        <x:f>1-ABS(I13-J13)/J13</x:f>
        <x:v>0.9767441860465116</x:v>
      </x:c>
      <x:c r="L13" s="34" t="str">
        <x:v>系统比人工申报减少8kg；实际比最终建议多1kg</x:v>
      </x:c>
      <x:c r="M13" s="26" t="str"/>
      <x:c r="N13" s="26" t="str"/>
      <x:c r="O13" s="31" t="n">
        <x:f>I13-J13</x:f>
        <x:v>-1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02cc67dd099349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48" hidden="0" customWidth="1"/>
    <x:col min="14" max="14" width="16" hidden="0" customWidth="1"/>
  </x:cols>
  <x:sheetData>
    <x:row r="1" ht="34" customHeight="1">
      <x:c r="A1" s="3" t="str">
        <x:v>真实毛利、顾客体验与外卖｜补充证据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先补足能支撑流程的关键内容，暂不把它们做成比菜品品质和备货更重的页面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12" t="str">
        <x:v>场景</x:v>
      </x:c>
      <x:c r="B4" s="12" t="str">
        <x:v>记录ID</x:v>
      </x:c>
      <x:c r="C4" s="12" t="str">
        <x:v>对象/主题</x:v>
      </x:c>
      <x:c r="D4" s="12" t="str">
        <x:v>售价</x:v>
      </x:c>
      <x:c r="E4" s="12" t="str">
        <x:v>食材成本</x:v>
      </x:c>
      <x:c r="F4" s="12" t="str">
        <x:v>外卖折扣率</x:v>
      </x:c>
      <x:c r="G4" s="12" t="str">
        <x:v>佣金率</x:v>
      </x:c>
      <x:c r="H4" s="12" t="str">
        <x:v>包装成本</x:v>
      </x:c>
      <x:c r="I4" s="12" t="str">
        <x:v>堂食贡献额</x:v>
      </x:c>
      <x:c r="J4" s="12" t="str">
        <x:v>堂食贡献率</x:v>
      </x:c>
      <x:c r="K4" s="12" t="str">
        <x:v>外卖贡献额</x:v>
      </x:c>
      <x:c r="L4" s="12" t="str">
        <x:v>外卖贡献率</x:v>
      </x:c>
      <x:c r="M4" s="12" t="str">
        <x:v>经营判断</x:v>
      </x:c>
      <x:c r="N4" s="12" t="str">
        <x:v>数据标签</x:v>
      </x:c>
    </x:row>
    <x:row r="5">
      <x:c r="A5" s="17" t="str">
        <x:v>真实毛利</x:v>
      </x:c>
      <x:c r="B5" s="17" t="str">
        <x:v>D01</x:v>
      </x:c>
      <x:c r="C5" s="17" t="str">
        <x:v>辣椒炒肉</x:v>
      </x:c>
      <x:c r="D5" s="35" t="n">
        <x:v>29</x:v>
      </x:c>
      <x:c r="E5" s="35" t="n">
        <x:v>8.63</x:v>
      </x:c>
      <x:c r="F5" s="18" t="n">
        <x:v>0.08</x:v>
      </x:c>
      <x:c r="G5" s="18" t="n">
        <x:v>0.18</x:v>
      </x:c>
      <x:c r="H5" s="35" t="n">
        <x:v>1.2</x:v>
      </x:c>
      <x:c r="I5" s="35" t="n">
        <x:v>20.37</x:v>
      </x:c>
      <x:c r="J5" s="32" t="n">
        <x:v>0.702</x:v>
      </x:c>
      <x:c r="K5" s="35" t="n">
        <x:v>11.63</x:v>
      </x:c>
      <x:c r="L5" s="32" t="n">
        <x:v>0.401</x:v>
      </x:c>
      <x:c r="M5" s="19" t="str">
        <x:v>主推菜，堂食和外卖均有正贡献</x:v>
      </x:c>
      <x:c r="N5" s="19" t="str">
        <x:v>S/C-模拟计算</x:v>
      </x:c>
    </x:row>
    <x:row r="6">
      <x:c r="A6" s="17" t="str">
        <x:v>真实毛利</x:v>
      </x:c>
      <x:c r="B6" s="17" t="str">
        <x:v>D02</x:v>
      </x:c>
      <x:c r="C6" s="17" t="str">
        <x:v>小炒黄牛肉</x:v>
      </x:c>
      <x:c r="D6" s="35" t="n">
        <x:v>49</x:v>
      </x:c>
      <x:c r="E6" s="35" t="n">
        <x:v>17.58</x:v>
      </x:c>
      <x:c r="F6" s="18" t="n">
        <x:v>0.08</x:v>
      </x:c>
      <x:c r="G6" s="18" t="n">
        <x:v>0.18</x:v>
      </x:c>
      <x:c r="H6" s="35" t="n">
        <x:v>1.2</x:v>
      </x:c>
      <x:c r="I6" s="35" t="n">
        <x:v>31.42</x:v>
      </x:c>
      <x:c r="J6" s="32" t="n">
        <x:v>0.641</x:v>
      </x:c>
      <x:c r="K6" s="35" t="n">
        <x:v>17.48</x:v>
      </x:c>
      <x:c r="L6" s="32" t="n">
        <x:v>0.357</x:v>
      </x:c>
      <x:c r="M6" s="19" t="str">
        <x:v>高客单核心菜，需关注牛肉采购价与品质</x:v>
      </x:c>
      <x:c r="N6" s="19" t="str">
        <x:v>S/C-模拟计算</x:v>
      </x:c>
    </x:row>
    <x:row r="7">
      <x:c r="A7" s="17" t="str">
        <x:v>外卖经营</x:v>
      </x:c>
      <x:c r="B7" s="17" t="str">
        <x:v>D05</x:v>
      </x:c>
      <x:c r="C7" s="17" t="str">
        <x:v>麻婆豆腐</x:v>
      </x:c>
      <x:c r="D7" s="35" t="n">
        <x:v>9.9</x:v>
      </x:c>
      <x:c r="E7" s="35" t="n">
        <x:v>5.37</x:v>
      </x:c>
      <x:c r="F7" s="18" t="n">
        <x:v>0.08</x:v>
      </x:c>
      <x:c r="G7" s="18" t="n">
        <x:v>0.18</x:v>
      </x:c>
      <x:c r="H7" s="35" t="n">
        <x:v>1.2</x:v>
      </x:c>
      <x:c r="I7" s="35" t="n">
        <x:v>4.53</x:v>
      </x:c>
      <x:c r="J7" s="32" t="n">
        <x:v>0.458</x:v>
      </x:c>
      <x:c r="K7" s="35" t="n">
        <x:v>0.76</x:v>
      </x:c>
      <x:c r="L7" s="32" t="n">
        <x:v>0.077</x:v>
      </x:c>
      <x:c r="M7" s="19" t="str">
        <x:v>低价活动后贡献过低，适合作为套餐引流而非单卖深折扣</x:v>
      </x:c>
      <x:c r="N7" s="19" t="str">
        <x:v>S/C-模拟计算</x:v>
      </x:c>
    </x:row>
    <x:row r="8">
      <x:c r="A8" s="17" t="str">
        <x:v>顾客体验</x:v>
      </x:c>
      <x:c r="B8" s="17" t="str">
        <x:v>EV-C-001</x:v>
      </x:c>
      <x:c r="C8" s="17" t="str">
        <x:v>辣度主题</x:v>
      </x:c>
      <x:c r="D8" s="35"/>
      <x:c r="E8" s="35"/>
      <x:c r="F8" s="18"/>
      <x:c r="G8" s="18"/>
      <x:c r="H8" s="35"/>
      <x:c r="I8" s="35"/>
      <x:c r="J8" s="32"/>
      <x:c r="K8" s="35"/>
      <x:c r="L8" s="32"/>
      <x:c r="M8" s="19" t="str">
        <x:v>剁椒鱼头与辣椒炒肉出现偏辣主题；先提示与二次确认，不直接改标准菜谱</x:v>
      </x:c>
      <x:c r="N8" s="19" t="str">
        <x:v>S-基于截图主题模拟</x:v>
      </x:c>
    </x:row>
    <x:row r="9">
      <x:c r="A9" s="17" t="str">
        <x:v>顾客体验</x:v>
      </x:c>
      <x:c r="B9" s="17" t="str">
        <x:v>EV-Q-001</x:v>
      </x:c>
      <x:c r="C9" s="17" t="str">
        <x:v>嫩度主题</x:v>
      </x:c>
      <x:c r="D9" s="35"/>
      <x:c r="E9" s="35"/>
      <x:c r="F9" s="18"/>
      <x:c r="G9" s="18"/>
      <x:c r="H9" s="35"/>
      <x:c r="I9" s="35"/>
      <x:c r="J9" s="32"/>
      <x:c r="K9" s="35"/>
      <x:c r="L9" s="32"/>
      <x:c r="M9" s="19" t="str">
        <x:v>小炒黄牛肉偏柴与批次B0712-03关联；需与品质事件共用证据</x:v>
      </x:c>
      <x:c r="N9" s="19" t="str">
        <x:v>S-事件模拟</x:v>
      </x:c>
    </x:row>
    <x:row r="10">
      <x:c r="A10" s="17" t="str">
        <x:v>顾客体验</x:v>
      </x:c>
      <x:c r="B10" s="17" t="str">
        <x:v>EV-P-001</x:v>
      </x:c>
      <x:c r="C10" s="17" t="str">
        <x:v>出餐主题</x:v>
      </x:c>
      <x:c r="D10" s="35"/>
      <x:c r="E10" s="35"/>
      <x:c r="F10" s="18"/>
      <x:c r="G10" s="18"/>
      <x:c r="H10" s="35"/>
      <x:c r="I10" s="35"/>
      <x:c r="J10" s="32"/>
      <x:c r="K10" s="35"/>
      <x:c r="L10" s="32"/>
      <x:c r="M10" s="19" t="str">
        <x:v>粉皮粘连导致5份延迟，SOP整改后晚市超时0单</x:v>
      </x:c>
      <x:c r="N10" s="19" t="str">
        <x:v>S/C-事件模拟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e73f303322b140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20" hidden="0" customWidth="1"/>
    <x:col min="5" max="5" width="72" hidden="0" customWidth="1"/>
    <x:col min="6" max="6" width="20" hidden="0" customWidth="1"/>
    <x:col min="7" max="7" width="20" hidden="0" customWidth="1"/>
    <x:col min="8" max="8" width="10" hidden="0" customWidth="1"/>
  </x:cols>
  <x:sheetData>
    <x:row r="1" ht="34" customHeight="1">
      <x:c r="A1" s="3" t="str">
        <x:v>表单与SOP字段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这些不是传统后台表单，而是场景页和移动端在每个节点需要采集的最小证据集合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2" t="str">
        <x:v>表单ID</x:v>
      </x:c>
      <x:c r="B4" s="12" t="str">
        <x:v>表单/记录</x:v>
      </x:c>
      <x:c r="C4" s="12" t="str">
        <x:v>场景</x:v>
      </x:c>
      <x:c r="D4" s="12" t="str">
        <x:v>执行角色</x:v>
      </x:c>
      <x:c r="E4" s="12" t="str">
        <x:v>必填字段</x:v>
      </x:c>
      <x:c r="F4" s="12" t="str">
        <x:v>承载端</x:v>
      </x:c>
      <x:c r="G4" s="12" t="str">
        <x:v>本轮状态</x:v>
      </x:c>
      <x:c r="H4" s="12" t="str">
        <x:v>优先级</x:v>
      </x:c>
    </x:row>
    <x:row r="5">
      <x:c r="A5" s="17" t="str">
        <x:v>FORM-01</x:v>
      </x:c>
      <x:c r="B5" s="19" t="str">
        <x:v>收货验收单</x:v>
      </x:c>
      <x:c r="C5" s="19" t="str">
        <x:v>菜品品质/精准备货</x:v>
      </x:c>
      <x:c r="D5" s="19" t="str">
        <x:v>店长/收货</x:v>
      </x:c>
      <x:c r="E5" s="19" t="str">
        <x:v>到货单号、门店、供应商、食材、规格、批次、生产/有效期、订单量、实收量、单价、温度、包装、颜色、气味、弹性、汁液、结论、处理、照片ID、签名</x:v>
      </x:c>
      <x:c r="F5" s="19" t="str">
        <x:v>移动表单+PC详情</x:v>
      </x:c>
      <x:c r="G5" s="19" t="str">
        <x:v>本轮字段已补齐</x:v>
      </x:c>
      <x:c r="H5" s="17" t="str">
        <x:v>P0</x:v>
      </x:c>
    </x:row>
    <x:row r="6">
      <x:c r="A6" s="17" t="str">
        <x:v>FORM-02</x:v>
      </x:c>
      <x:c r="B6" s="19" t="str">
        <x:v>前处理批次记录</x:v>
      </x:c>
      <x:c r="C6" s="19" t="str">
        <x:v>菜品品质</x:v>
      </x:c>
      <x:c r="D6" s="19" t="str">
        <x:v>后厨小工</x:v>
      </x:c>
      <x:c r="E6" s="19" t="str">
        <x:v>备菜批次、食材批次、操作人、开始/结束、计划量、实际量、切配规格、水温/环境温度、时长、损耗、异常、照片</x:v>
      </x:c>
      <x:c r="F6" s="19" t="str">
        <x:v>移动SOP</x:v>
      </x:c>
      <x:c r="G6" s="19" t="str">
        <x:v>本轮字段已补齐</x:v>
      </x:c>
      <x:c r="H6" s="17" t="str">
        <x:v>P0</x:v>
      </x:c>
    </x:row>
    <x:row r="7">
      <x:c r="A7" s="17" t="str">
        <x:v>FORM-03</x:v>
      </x:c>
      <x:c r="B7" s="19" t="str">
        <x:v>炒菜机执行记录</x:v>
      </x:c>
      <x:c r="C7" s="19" t="str">
        <x:v>菜品品质</x:v>
      </x:c>
      <x:c r="D7" s="19" t="str">
        <x:v>炒菜机操作员</x:v>
      </x:c>
      <x:c r="E7" s="19" t="str">
        <x:v>机器ID、菜品、菜谱版本、食材目标/实际、调料目标/实际、烹饪时间、报警、操作员、成品照片</x:v>
      </x:c>
      <x:c r="F7" s="19" t="str">
        <x:v>机器接口+移动确认</x:v>
      </x:c>
      <x:c r="G7" s="19" t="str">
        <x:v>已有部分模拟日志</x:v>
      </x:c>
      <x:c r="H7" s="17" t="str">
        <x:v>P0</x:v>
      </x:c>
    </x:row>
    <x:row r="8">
      <x:c r="A8" s="17" t="str">
        <x:v>FORM-04</x:v>
      </x:c>
      <x:c r="B8" s="19" t="str">
        <x:v>出餐与反馈记录</x:v>
      </x:c>
      <x:c r="C8" s="19" t="str">
        <x:v>菜品品质/顾客体验</x:v>
      </x:c>
      <x:c r="D8" s="19" t="str">
        <x:v>服务员</x:v>
      </x:c>
      <x:c r="E8" s="19" t="str">
        <x:v>订单、桌台、菜品、炒制批次、开始/完成、等待、辣度确认、反馈标签、照片</x:v>
      </x:c>
      <x:c r="F8" s="19" t="str">
        <x:v>移动轻表单</x:v>
      </x:c>
      <x:c r="G8" s="19" t="str">
        <x:v>本轮字段已补齐</x:v>
      </x:c>
      <x:c r="H8" s="17" t="str">
        <x:v>P0</x:v>
      </x:c>
    </x:row>
    <x:row r="9">
      <x:c r="A9" s="17" t="str">
        <x:v>FORM-05</x:v>
      </x:c>
      <x:c r="B9" s="19" t="str">
        <x:v>备货审批单</x:v>
      </x:c>
      <x:c r="C9" s="19" t="str">
        <x:v>精准备货</x:v>
      </x:c>
      <x:c r="D9" s="19" t="str">
        <x:v>采购/店长</x:v>
      </x:c>
      <x:c r="E9" s="19" t="str">
        <x:v>预测日期、门店、食材、原始预测、库存、在途、安全库存、人工修正、最终建议、审批人、原因</x:v>
      </x:c>
      <x:c r="F9" s="19" t="str">
        <x:v>PC审批+移动确认</x:v>
      </x:c>
      <x:c r="G9" s="19" t="str">
        <x:v>本轮字段已补齐</x:v>
      </x:c>
      <x:c r="H9" s="17" t="str">
        <x:v>P0</x:v>
      </x:c>
    </x:row>
    <x:row r="10">
      <x:c r="A10" s="17" t="str">
        <x:v>FORM-06</x:v>
      </x:c>
      <x:c r="B10" s="19" t="str">
        <x:v>盘点与损耗单</x:v>
      </x:c>
      <x:c r="C10" s="19" t="str">
        <x:v>精准备货/真实毛利</x:v>
      </x:c>
      <x:c r="D10" s="19" t="str">
        <x:v>店长/后厨小工</x:v>
      </x:c>
      <x:c r="E10" s="19" t="str">
        <x:v>食材、单位、系统库存、实盘、差异、报损量、原因、照片、验收人</x:v>
      </x:c>
      <x:c r="F10" s="19" t="str">
        <x:v>移动表单</x:v>
      </x:c>
      <x:c r="G10" s="19" t="str">
        <x:v>待补模拟记录</x:v>
      </x:c>
      <x:c r="H10" s="17" t="str">
        <x:v>P0</x:v>
      </x:c>
    </x:row>
    <x:row r="11">
      <x:c r="A11" s="17" t="str">
        <x:v>FORM-07</x:v>
      </x:c>
      <x:c r="B11" s="19" t="str">
        <x:v>调拨单</x:v>
      </x:c>
      <x:c r="C11" s="19" t="str">
        <x:v>精准备货/菜品品质</x:v>
      </x:c>
      <x:c r="D11" s="19" t="str">
        <x:v>采购/店长</x:v>
      </x:c>
      <x:c r="E11" s="19" t="str">
        <x:v>调出店、调入店、食材、批次、数量、出库/到货时间、照片、双方确认</x:v>
      </x:c>
      <x:c r="F11" s="19" t="str">
        <x:v>PC+移动</x:v>
      </x:c>
      <x:c r="G11" s="19" t="str">
        <x:v>已有事件字段</x:v>
      </x:c>
      <x:c r="H11" s="17" t="str">
        <x:v>P0</x:v>
      </x:c>
    </x:row>
    <x:row r="12">
      <x:c r="A12" s="17" t="str">
        <x:v>FORM-08</x:v>
      </x:c>
      <x:c r="B12" s="19" t="str">
        <x:v>经营事件单</x:v>
      </x:c>
      <x:c r="C12" s="19" t="str">
        <x:v>全部场景</x:v>
      </x:c>
      <x:c r="D12" s="19" t="str">
        <x:v>总部运营/品控</x:v>
      </x:c>
      <x:c r="E12" s="19" t="str">
        <x:v>触发、已知证据、待核验、AI判断、置信度、预计影响、责任人、下一动作、验收标准、复盘日期</x:v>
      </x:c>
      <x:c r="F12" s="19" t="str">
        <x:v>PC详情</x:v>
      </x:c>
      <x:c r="G12" s="19" t="str">
        <x:v>已有模拟事件</x:v>
      </x:c>
      <x:c r="H12" s="17" t="str">
        <x:v>P0</x:v>
      </x:c>
    </x:row>
    <x:row r="13">
      <x:c r="A13" s="17" t="str">
        <x:v>FORM-09</x:v>
      </x:c>
      <x:c r="B13" s="19" t="str">
        <x:v>SOP任务单</x:v>
      </x:c>
      <x:c r="C13" s="19" t="str">
        <x:v>全部场景</x:v>
      </x:c>
      <x:c r="D13" s="19" t="str">
        <x:v>全角色</x:v>
      </x:c>
      <x:c r="E13" s="19" t="str">
        <x:v>事件、动作、执行人、范围、截止时间、证据、验收人、验收结果、复盘时间</x:v>
      </x:c>
      <x:c r="F13" s="19" t="str">
        <x:v>PC+移动</x:v>
      </x:c>
      <x:c r="G13" s="19" t="str">
        <x:v>已有模拟任务</x:v>
      </x:c>
      <x:c r="H13" s="17" t="str">
        <x:v>P0</x:v>
      </x:c>
    </x:row>
    <x:row r="14">
      <x:c r="A14" s="17" t="str">
        <x:v>FORM-10</x:v>
      </x:c>
      <x:c r="B14" s="19" t="str">
        <x:v>供应商整改与复验单</x:v>
      </x:c>
      <x:c r="C14" s="19" t="str">
        <x:v>菜品品质</x:v>
      </x:c>
      <x:c r="D14" s="19" t="str">
        <x:v>采购/总部品控</x:v>
      </x:c>
      <x:c r="E14" s="19" t="str">
        <x:v>供应商、食材、异常批次、原因、整改措施、连续批次复验、结果、恢复条件</x:v>
      </x:c>
      <x:c r="F14" s="19" t="str">
        <x:v>PC</x:v>
      </x:c>
      <x:c r="G14" s="19" t="str">
        <x:v>本轮字段已补齐</x:v>
      </x:c>
      <x:c r="H14" s="17" t="str">
        <x:v>P1</x:v>
      </x:c>
    </x:row>
    <x:row r="15">
      <x:c r="A15" s="17" t="str">
        <x:v>FORM-11</x:v>
      </x:c>
      <x:c r="B15" s="19" t="str">
        <x:v>外卖活动测算单</x:v>
      </x:c>
      <x:c r="C15" s="19" t="str">
        <x:v>外卖经营</x:v>
      </x:c>
      <x:c r="D15" s="19" t="str">
        <x:v>总部运营</x:v>
      </x:c>
      <x:c r="E15" s="19" t="str">
        <x:v>菜品、原价、折扣、佣金、包装、食材成本、单笔贡献、预计销量、活动前后结果</x:v>
      </x:c>
      <x:c r="F15" s="19" t="str">
        <x:v>PC</x:v>
      </x:c>
      <x:c r="G15" s="19" t="str">
        <x:v>已有模拟计算</x:v>
      </x:c>
      <x:c r="H15" s="17" t="str">
        <x:v>P1</x:v>
      </x:c>
    </x:row>
    <x:row r="16">
      <x:c r="A16" s="17" t="str">
        <x:v>FORM-12</x:v>
      </x:c>
      <x:c r="B16" s="19" t="str">
        <x:v>门店日清单</x:v>
      </x:c>
      <x:c r="C16" s="19" t="str">
        <x:v>经营首页/任务复盘</x:v>
      </x:c>
      <x:c r="D16" s="19" t="str">
        <x:v>店长</x:v>
      </x:c>
      <x:c r="E16" s="19" t="str">
        <x:v>流水、缺货、损耗、客诉、开放事件、逾期任务、次日关注事项、签字</x:v>
      </x:c>
      <x:c r="F16" s="19" t="str">
        <x:v>移动+PC</x:v>
      </x:c>
      <x:c r="G16" s="19" t="str">
        <x:v>待补模拟记录</x:v>
      </x:c>
      <x:c r="H16" s="17" t="str">
        <x:v>P1</x:v>
      </x:c>
    </x:row>
  </x:sheetData>
  <x:mergeCells>
    <x:mergeCell ref="A1:H1"/>
    <x:mergeCell ref="A2:H2"/>
  </x:mergeCells>
  <x:conditionalFormatting sqref="G5:G16">
    <x:cfRule type="containsText" dxfId="9" priority="1" operator="containsText" text="已有"/>
    <x:cfRule type="containsText" dxfId="10" priority="2" operator="containsText" text="本轮"/>
    <x:cfRule type="containsText" dxfId="11" priority="3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40c8c24ff5e14d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34" hidden="0" customWidth="1"/>
    <x:col min="7" max="7" width="44" hidden="0" customWidth="1"/>
    <x:col min="8" max="8" width="38" hidden="0" customWidth="1"/>
    <x:col min="9" max="9" width="44" hidden="0" customWidth="1"/>
    <x:col min="10" max="10" width="10" hidden="0" customWidth="1"/>
  </x:cols>
  <x:sheetData>
    <x:row r="1" ht="34" customHeight="1">
      <x:c r="A1" s="3" t="str">
        <x:v>缺口与优先级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P0缺口会影响下一轮流程页可信度；P1/P2可以在页面骨架完成后逐步替换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2" t="str">
        <x:v>缺口ID</x:v>
      </x:c>
      <x:c r="B4" s="12" t="str">
        <x:v>场景</x:v>
      </x:c>
      <x:c r="C4" s="12" t="str">
        <x:v>节点</x:v>
      </x:c>
      <x:c r="D4" s="12" t="str">
        <x:v>提供方</x:v>
      </x:c>
      <x:c r="E4" s="12" t="str">
        <x:v>类型</x:v>
      </x:c>
      <x:c r="F4" s="12" t="str">
        <x:v>需要补充</x:v>
      </x:c>
      <x:c r="G4" s="12" t="str">
        <x:v>最低字段/内容</x:v>
      </x:c>
      <x:c r="H4" s="12" t="str">
        <x:v>为什么需要</x:v>
      </x:c>
      <x:c r="I4" s="12" t="str">
        <x:v>可用替代方案</x:v>
      </x:c>
      <x:c r="J4" s="12" t="str">
        <x:v>优先级</x:v>
      </x:c>
    </x:row>
    <x:row r="5">
      <x:c r="A5" s="17" t="str">
        <x:v>G01</x:v>
      </x:c>
      <x:c r="B5" s="17" t="str">
        <x:v>菜品品质</x:v>
      </x:c>
      <x:c r="C5" s="17" t="str">
        <x:v>炒菜机</x:v>
      </x:c>
      <x:c r="D5" s="17" t="str">
        <x:v>客户/设备方</x:v>
      </x:c>
      <x:c r="E5" s="17" t="str">
        <x:v>实拍+接口</x:v>
      </x:c>
      <x:c r="F5" s="19" t="str">
        <x:v>机器全景、真实菜谱屏、执行日志样例</x:v>
      </x:c>
      <x:c r="G5" s="19" t="str">
        <x:v>机器型号、菜谱版本、克重、执行时间、报警</x:v>
      </x:c>
      <x:c r="H5" s="19" t="str">
        <x:v>决定炒菜机是否只是装饰还是可追溯节点</x:v>
      </x:c>
      <x:c r="I5" s="19" t="str">
        <x:v>本轮用截图菜谱+模拟日志；图片下一轮AI生成</x:v>
      </x:c>
      <x:c r="J5" s="17" t="str">
        <x:v>P0</x:v>
      </x:c>
    </x:row>
    <x:row r="6">
      <x:c r="A6" s="17" t="str">
        <x:v>G02</x:v>
      </x:c>
      <x:c r="B6" s="17" t="str">
        <x:v>菜品品质</x:v>
      </x:c>
      <x:c r="C6" s="17" t="str">
        <x:v>收货</x:v>
      </x:c>
      <x:c r="D6" s="17" t="str">
        <x:v>客户采购/门店</x:v>
      </x:c>
      <x:c r="E6" s="17" t="str">
        <x:v>单据+实拍</x:v>
      </x:c>
      <x:c r="F6" s="19" t="str">
        <x:v>真实采购单、收货单、批次标签</x:v>
      </x:c>
      <x:c r="G6" s="19" t="str">
        <x:v>供应商、品名、规格、批次、数量、温度、日期</x:v>
      </x:c>
      <x:c r="H6" s="19" t="str">
        <x:v>决定批次追溯可信度</x:v>
      </x:c>
      <x:c r="I6" s="19" t="str">
        <x:v>使用B0712-03模拟标签和收货记录</x:v>
      </x:c>
      <x:c r="J6" s="17" t="str">
        <x:v>P0</x:v>
      </x:c>
    </x:row>
    <x:row r="7">
      <x:c r="A7" s="17" t="str">
        <x:v>G03</x:v>
      </x:c>
      <x:c r="B7" s="17" t="str">
        <x:v>菜品品质</x:v>
      </x:c>
      <x:c r="C7" s="17" t="str">
        <x:v>成品</x:v>
      </x:c>
      <x:c r="D7" s="17" t="str">
        <x:v>门店/产品</x:v>
      </x:c>
      <x:c r="E7" s="17" t="str">
        <x:v>图片</x:v>
      </x:c>
      <x:c r="F7" s="19" t="str">
        <x:v>黄牛肉标准、偏柴、对比图</x:v>
      </x:c>
      <x:c r="G7" s="19" t="str">
        <x:v>同盘同角度同背景，差异克制</x:v>
      </x:c>
      <x:c r="H7" s="19" t="str">
        <x:v>事件详情需要最直观的判断证据</x:v>
      </x:c>
      <x:c r="I7" s="19" t="str">
        <x:v>下一轮AI生成3张统一风格图</x:v>
      </x:c>
      <x:c r="J7" s="17" t="str">
        <x:v>P0</x:v>
      </x:c>
    </x:row>
    <x:row r="8">
      <x:c r="A8" s="17" t="str">
        <x:v>G04</x:v>
      </x:c>
      <x:c r="B8" s="17" t="str">
        <x:v>精准备货</x:v>
      </x:c>
      <x:c r="C8" s="17" t="str">
        <x:v>库存/损耗</x:v>
      </x:c>
      <x:c r="D8" s="17" t="str">
        <x:v>门店</x:v>
      </x:c>
      <x:c r="E8" s="17" t="str">
        <x:v>数据+实拍</x:v>
      </x:c>
      <x:c r="F8" s="19" t="str">
        <x:v>真实盘点、库存筐、报损记录</x:v>
      </x:c>
      <x:c r="G8" s="19" t="str">
        <x:v>系统库存、实盘、差异、报损量、原因、照片</x:v>
      </x:c>
      <x:c r="H8" s="19" t="str">
        <x:v>没有实际耗用就无法验证预测</x:v>
      </x:c>
      <x:c r="I8" s="19" t="str">
        <x:v>先用模拟盘点与图片brief</x:v>
      </x:c>
      <x:c r="J8" s="17" t="str">
        <x:v>P0</x:v>
      </x:c>
    </x:row>
    <x:row r="9">
      <x:c r="A9" s="17" t="str">
        <x:v>G05</x:v>
      </x:c>
      <x:c r="B9" s="17" t="str">
        <x:v>精准备货</x:v>
      </x:c>
      <x:c r="C9" s="17" t="str">
        <x:v>销售预测</x:v>
      </x:c>
      <x:c r="D9" s="17" t="str">
        <x:v>总部运营</x:v>
      </x:c>
      <x:c r="E9" s="17" t="str">
        <x:v>数据</x:v>
      </x:c>
      <x:c r="F9" s="19" t="str">
        <x:v>近30天真实POS销量</x:v>
      </x:c>
      <x:c r="G9" s="19" t="str">
        <x:v>门店、菜品、日期、时段、渠道、退款赠送</x:v>
      </x:c>
      <x:c r="H9" s="19" t="str">
        <x:v>替换7天模拟数据，形成真实日型和门店差异</x:v>
      </x:c>
      <x:c r="I9" s="19" t="str">
        <x:v>继续使用8店7天模拟模型</x:v>
      </x:c>
      <x:c r="J9" s="17" t="str">
        <x:v>P0</x:v>
      </x:c>
    </x:row>
    <x:row r="10">
      <x:c r="A10" s="17" t="str">
        <x:v>G06</x:v>
      </x:c>
      <x:c r="B10" s="17" t="str">
        <x:v>真实毛利</x:v>
      </x:c>
      <x:c r="C10" s="17" t="str">
        <x:v>采购价</x:v>
      </x:c>
      <x:c r="D10" s="17" t="str">
        <x:v>采购/财务</x:v>
      </x:c>
      <x:c r="E10" s="17" t="str">
        <x:v>数据+单据</x:v>
      </x:c>
      <x:c r="F10" s="19" t="str">
        <x:v>真实采购价与规格</x:v>
      </x:c>
      <x:c r="G10" s="19" t="str">
        <x:v>含税价、单位、供应商、生效日期</x:v>
      </x:c>
      <x:c r="H10" s="19" t="str">
        <x:v>当前成本均为模拟假设</x:v>
      </x:c>
      <x:c r="I10" s="19" t="str">
        <x:v>先保留采购价假设并显式标S</x:v>
      </x:c>
      <x:c r="J10" s="17" t="str">
        <x:v>P0</x:v>
      </x:c>
    </x:row>
    <x:row r="11">
      <x:c r="A11" s="17" t="str">
        <x:v>G07</x:v>
      </x:c>
      <x:c r="B11" s="17" t="str">
        <x:v>外卖经营</x:v>
      </x:c>
      <x:c r="C11" s="17" t="str">
        <x:v>平台结算</x:v>
      </x:c>
      <x:c r="D11" s="17" t="str">
        <x:v>总部运营</x:v>
      </x:c>
      <x:c r="E11" s="17" t="str">
        <x:v>数据+小票</x:v>
      </x:c>
      <x:c r="F11" s="19" t="str">
        <x:v>一张脱敏结算或订单样例</x:v>
      </x:c>
      <x:c r="G11" s="19" t="str">
        <x:v>原价、折扣、佣金、配送、包装、退款</x:v>
      </x:c>
      <x:c r="H11" s="19" t="str">
        <x:v>决定单笔贡献口径</x:v>
      </x:c>
      <x:c r="I11" s="19" t="str">
        <x:v>先使用8%折扣、18%佣金、1.2元包装</x:v>
      </x:c>
      <x:c r="J11" s="17" t="str">
        <x:v>P0</x:v>
      </x:c>
    </x:row>
    <x:row r="12">
      <x:c r="A12" s="17" t="str">
        <x:v>G08</x:v>
      </x:c>
      <x:c r="B12" s="17" t="str">
        <x:v>全部场景</x:v>
      </x:c>
      <x:c r="C12" s="17" t="str">
        <x:v>角色权限</x:v>
      </x:c>
      <x:c r="D12" s="17" t="str">
        <x:v>老板/运营</x:v>
      </x:c>
      <x:c r="E12" s="17" t="str">
        <x:v>访谈确认</x:v>
      </x:c>
      <x:c r="F12" s="19" t="str">
        <x:v>谁能隔离批次、退换、调拨、改菜谱、关闭事件</x:v>
      </x:c>
      <x:c r="G12" s="19" t="str">
        <x:v>角色、权限、审批层级、替代人</x:v>
      </x:c>
      <x:c r="H12" s="19" t="str">
        <x:v>决定任务按钮和流程分支</x:v>
      </x:c>
      <x:c r="I12" s="19" t="str">
        <x:v>本轮按常见组织模拟</x:v>
      </x:c>
      <x:c r="J12" s="17" t="str">
        <x:v>P1</x:v>
      </x:c>
    </x:row>
    <x:row r="13">
      <x:c r="A13" s="17" t="str">
        <x:v>G09</x:v>
      </x:c>
      <x:c r="B13" s="17" t="str">
        <x:v>顾客体验</x:v>
      </x:c>
      <x:c r="C13" s="17" t="str">
        <x:v>门店服务</x:v>
      </x:c>
      <x:c r="D13" s="17" t="str">
        <x:v>门店</x:v>
      </x:c>
      <x:c r="E13" s="17" t="str">
        <x:v>实拍</x:v>
      </x:c>
      <x:c r="F13" s="19" t="str">
        <x:v>辣度标签菜单与二次确认场景</x:v>
      </x:c>
      <x:c r="G13" s="19" t="str">
        <x:v>菜单标签、服务动作、抽查记录</x:v>
      </x:c>
      <x:c r="H13" s="19" t="str">
        <x:v>把评价主题转成门店动作</x:v>
      </x:c>
      <x:c r="I13" s="19" t="str">
        <x:v>下一轮AI生成或拍摄</x:v>
      </x:c>
      <x:c r="J13" s="17" t="str">
        <x:v>P1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43dd50efef64f8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54" hidden="0" customWidth="1"/>
  </x:cols>
  <x:sheetData>
    <x:row r="1" ht="34" customHeight="1">
      <x:c r="A1" s="3" t="str">
        <x:v>素材包检查</x:v>
      </x:c>
      <x:c r="B1" s="3"/>
      <x:c r="C1" s="3"/>
      <x:c r="D1" s="3"/>
      <x:c r="E1" s="3"/>
      <x:c r="F1" s="3"/>
      <x:c r="G1" s="3"/>
    </x:row>
    <x:row r="2" ht="30" customHeight="1">
      <x:c r="A2" s="7" t="str">
        <x:v>所有检查通过后，本轮素材规划才可交给下一轮流程页设计</x:v>
      </x:c>
      <x:c r="B2" s="7"/>
      <x:c r="C2" s="7"/>
      <x:c r="D2" s="7"/>
      <x:c r="E2" s="7"/>
      <x:c r="F2" s="7"/>
      <x:c r="G2" s="7"/>
    </x:row>
    <x:row r="4">
      <x:c r="A4" s="36" t="str">
        <x:v>MODEL STATUS</x:v>
      </x:c>
      <x:c r="B4" s="37" t="str">
        <x:f>IF(COUNTIF(F9:F15,"CHECK")=0,"PASS","FAIL")</x:f>
        <x:v>PASS</x:v>
      </x:c>
    </x:row>
    <x:row r="5">
      <x:c r="A5" s="36" t="str">
        <x:v>检查时间</x:v>
      </x:c>
      <x:c r="B5" s="37" t="str">
        <x:v>2026-07-13</x:v>
      </x:c>
    </x:row>
    <x:row r="8" ht="30" customHeight="1">
      <x:c r="A8" s="12" t="str">
        <x:v>检查项</x:v>
      </x:c>
      <x:c r="B8" s="12" t="str">
        <x:v>实际</x:v>
      </x:c>
      <x:c r="C8" s="12" t="str">
        <x:v>期望</x:v>
      </x:c>
      <x:c r="D8" s="12" t="str">
        <x:v>差异</x:v>
      </x:c>
      <x:c r="E8" s="12" t="str">
        <x:v>容差</x:v>
      </x:c>
      <x:c r="F8" s="12" t="str">
        <x:v>状态</x:v>
      </x:c>
      <x:c r="G8" s="12" t="str">
        <x:v>说明</x:v>
      </x:c>
    </x:row>
    <x:row r="9">
      <x:c r="A9" s="17" t="str">
        <x:v>核心场景已覆盖</x:v>
      </x:c>
      <x:c r="B9" s="17" t="n">
        <x:f>COUNTA('场景与页面'!$B$5:$B$11)</x:f>
        <x:v>7</x:v>
      </x:c>
      <x:c r="C9" s="17" t="n">
        <x:v>7</x:v>
      </x:c>
      <x:c r="D9" s="17" t="n">
        <x:f>B9-C9</x:f>
        <x:v>0</x:v>
      </x:c>
      <x:c r="E9" s="17" t="n">
        <x:v>0</x:v>
      </x:c>
      <x:c r="F9" s="17" t="str">
        <x:f>IF(ABS(D9)&lt;=E9,"OK","CHECK")</x:f>
        <x:v>OK</x:v>
      </x:c>
      <x:c r="G9" s="17" t="str">
        <x:v>经营首页、品质、备货、毛利、体验、外卖、任务</x:v>
      </x:c>
    </x:row>
    <x:row r="10">
      <x:c r="A10" s="17" t="str">
        <x:v>角色场景任务已覆盖</x:v>
      </x:c>
      <x:c r="B10" s="17" t="n">
        <x:f>COUNTA('角色任务矩阵'!$B$5:$B$19)</x:f>
        <x:v>15</x:v>
      </x:c>
      <x:c r="C10" s="17" t="n">
        <x:v>15</x:v>
      </x:c>
      <x:c r="D10" s="17" t="n">
        <x:f>B10-C10</x:f>
        <x:v>0</x:v>
      </x:c>
      <x:c r="E10" s="17" t="n">
        <x:v>0</x:v>
      </x:c>
      <x:c r="F10" s="17" t="str">
        <x:f>IF(ABS(D10)&lt;=E10,"OK","CHECK")</x:f>
        <x:v>OK</x:v>
      </x:c>
      <x:c r="G10" s="17" t="str">
        <x:v>15条角色任务覆盖老板、运营、品控、采购、店长/收货、小工、机器操作员、服务员</x:v>
      </x:c>
    </x:row>
    <x:row r="11">
      <x:c r="A11" s="17" t="str">
        <x:v>品质事件证据≥20条</x:v>
      </x:c>
      <x:c r="B11" s="17" t="n">
        <x:f>COUNTA('品质证据包'!$A$5:$A$28)</x:f>
        <x:v>24</x:v>
      </x:c>
      <x:c r="C11" s="17" t="n">
        <x:v>20</x:v>
      </x:c>
      <x:c r="D11" s="17" t="n">
        <x:f>B11-C11</x:f>
        <x:v>4</x:v>
      </x:c>
      <x:c r="E11" s="17" t="n">
        <x:v>0</x:v>
      </x:c>
      <x:c r="F11" s="17" t="str">
        <x:f>IF(B11&gt;=C11,"OK","CHECK")</x:f>
        <x:v>OK</x:v>
      </x:c>
      <x:c r="G11" s="17" t="str">
        <x:v>足够支撑完整SOP时间线</x:v>
      </x:c>
    </x:row>
    <x:row r="12">
      <x:c r="A12" s="17" t="str">
        <x:v>备货8店分配合计42kg</x:v>
      </x:c>
      <x:c r="B12" s="30" t="n">
        <x:f>'备货证据包'!I13</x:f>
        <x:v>42</x:v>
      </x:c>
      <x:c r="C12" s="30" t="n">
        <x:v>42</x:v>
      </x:c>
      <x:c r="D12" s="30" t="n">
        <x:f>B12-C12</x:f>
        <x:v>0</x:v>
      </x:c>
      <x:c r="E12" s="30" t="n">
        <x:v>0.01</x:v>
      </x:c>
      <x:c r="F12" s="17" t="str">
        <x:f>IF(ABS(D12)&lt;=E12,"OK","CHECK")</x:f>
        <x:v>OK</x:v>
      </x:c>
      <x:c r="G12" s="17" t="str">
        <x:v>EV-S-001口径</x:v>
      </x:c>
    </x:row>
    <x:row r="13">
      <x:c r="A13" s="17" t="str">
        <x:v>备货实际耗用合计43kg</x:v>
      </x:c>
      <x:c r="B13" s="30" t="n">
        <x:f>'备货证据包'!J13</x:f>
        <x:v>43</x:v>
      </x:c>
      <x:c r="C13" s="30" t="n">
        <x:v>43</x:v>
      </x:c>
      <x:c r="D13" s="30" t="n">
        <x:f>B13-C13</x:f>
        <x:v>0</x:v>
      </x:c>
      <x:c r="E13" s="30" t="n">
        <x:v>0.01</x:v>
      </x:c>
      <x:c r="F13" s="17" t="str">
        <x:f>IF(ABS(D13)&lt;=E13,"OK","CHECK")</x:f>
        <x:v>OK</x:v>
      </x:c>
      <x:c r="G13" s="17" t="str">
        <x:v>EV-S-001口径</x:v>
      </x:c>
    </x:row>
    <x:row r="14">
      <x:c r="A14" s="17" t="str">
        <x:v>P0图片均有目标文件名</x:v>
      </x:c>
      <x:c r="B14" s="17" t="n">
        <x:f>COUNTIFS('图片拍摄清单'!$P$5:$P$35,"P0",'图片拍摄清单'!$Q$5:$Q$35,"")</x:f>
        <x:v>0</x:v>
      </x:c>
      <x:c r="C14" s="17" t="n">
        <x:v>0</x:v>
      </x:c>
      <x:c r="D14" s="17" t="n">
        <x:f>B14-C14</x:f>
        <x:v>0</x:v>
      </x:c>
      <x:c r="E14" s="17" t="n">
        <x:v>0</x:v>
      </x:c>
      <x:c r="F14" s="17" t="str">
        <x:f>IF(ABS(D14)&lt;=E14,"OK","CHECK")</x:f>
        <x:v>OK</x:v>
      </x:c>
      <x:c r="G14" s="17" t="str">
        <x:v>实际为空文件名数量</x:v>
      </x:c>
    </x:row>
    <x:row r="15">
      <x:c r="A15" s="17" t="str">
        <x:v>素材均有优先级</x:v>
      </x:c>
      <x:c r="B15" s="17" t="n">
        <x:f>COUNTIF('素材台账'!$J$5:$J$70,"")</x:f>
        <x:v>0</x:v>
      </x:c>
      <x:c r="C15" s="17" t="n">
        <x:v>0</x:v>
      </x:c>
      <x:c r="D15" s="17" t="n">
        <x:f>B15-C15</x:f>
        <x:v>0</x:v>
      </x:c>
      <x:c r="E15" s="17" t="n">
        <x:v>0</x:v>
      </x:c>
      <x:c r="F15" s="17" t="str">
        <x:f>IF(ABS(D15)&lt;=E15,"OK","CHECK")</x:f>
        <x:v>OK</x:v>
      </x:c>
      <x:c r="G15" s="17" t="str">
        <x:v>实际为空优先级数量</x:v>
      </x:c>
    </x:row>
  </x:sheetData>
  <x:mergeCells>
    <x:mergeCell ref="A1:G1"/>
    <x:mergeCell ref="A2:G2"/>
  </x:mergeCells>
  <x:pageMargins left="0.7" right="0.7" top="0.75" bottom="0.75" header="0.3" footer="0.3"/>
</x:worksheet>
</file>